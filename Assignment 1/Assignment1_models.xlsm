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2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colelow/Desktop/CITS SOFTWARE PROCESSES/"/>
    </mc:Choice>
  </mc:AlternateContent>
  <xr:revisionPtr revIDLastSave="0" documentId="13_ncr:1_{60B03B8E-310C-AD4D-A682-1AF5BC68E91B}" xr6:coauthVersionLast="44" xr6:coauthVersionMax="44" xr10:uidLastSave="{00000000-0000-0000-0000-000000000000}"/>
  <bookViews>
    <workbookView xWindow="840" yWindow="460" windowWidth="26920" windowHeight="15520" activeTab="1" xr2:uid="{00000000-000D-0000-FFFF-FFFF00000000}"/>
  </bookViews>
  <sheets>
    <sheet name="Detection curves" sheetId="10" r:id="rId1"/>
    <sheet name="Simulation" sheetId="2" r:id="rId2"/>
    <sheet name="Random effort" sheetId="3" r:id="rId3"/>
    <sheet name="first in first out" sheetId="4" r:id="rId4"/>
    <sheet name="major -&gt; minor, easy -&gt; hard" sheetId="5" r:id="rId5"/>
    <sheet name="DF DF" sheetId="6" r:id="rId6"/>
    <sheet name="total importance" sheetId="7" r:id="rId7"/>
    <sheet name="avg time que" sheetId="8" r:id="rId8"/>
    <sheet name="staff allocation" sheetId="9" r:id="rId9"/>
  </sheets>
  <externalReferences>
    <externalReference r:id="rId10"/>
  </externalReferences>
  <definedNames>
    <definedName name="solver_adj" localSheetId="1" hidden="1">Simulation!$H$75:$I$75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Simulation!$G$75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4" i="10" l="1"/>
  <c r="E26" i="10" s="1"/>
  <c r="D24" i="10"/>
  <c r="D26" i="10" s="1"/>
  <c r="C24" i="10"/>
  <c r="C26" i="10" s="1"/>
  <c r="B24" i="10"/>
  <c r="F24" i="10" s="1"/>
  <c r="K23" i="10"/>
  <c r="F23" i="10"/>
  <c r="K22" i="10"/>
  <c r="F22" i="10"/>
  <c r="K21" i="10"/>
  <c r="F21" i="10"/>
  <c r="K20" i="10"/>
  <c r="F20" i="10"/>
  <c r="K19" i="10"/>
  <c r="F19" i="10"/>
  <c r="K18" i="10"/>
  <c r="F18" i="10"/>
  <c r="K17" i="10"/>
  <c r="F17" i="10"/>
  <c r="K16" i="10"/>
  <c r="F16" i="10"/>
  <c r="K15" i="10"/>
  <c r="F15" i="10"/>
  <c r="K14" i="10"/>
  <c r="F14" i="10"/>
  <c r="K13" i="10"/>
  <c r="F13" i="10"/>
  <c r="K12" i="10"/>
  <c r="F12" i="10"/>
  <c r="K11" i="10"/>
  <c r="F11" i="10"/>
  <c r="K10" i="10"/>
  <c r="F10" i="10"/>
  <c r="K9" i="10"/>
  <c r="F9" i="10"/>
  <c r="K8" i="10"/>
  <c r="F8" i="10"/>
  <c r="K7" i="10"/>
  <c r="F7" i="10"/>
  <c r="K6" i="10"/>
  <c r="F6" i="10"/>
  <c r="K5" i="10"/>
  <c r="F5" i="10"/>
  <c r="K4" i="10"/>
  <c r="F4" i="10"/>
  <c r="B26" i="10" l="1"/>
  <c r="C5" i="2"/>
  <c r="H5" i="2"/>
  <c r="M5" i="2"/>
  <c r="R5" i="2"/>
  <c r="C6" i="2"/>
  <c r="H6" i="2"/>
  <c r="M6" i="2"/>
  <c r="R6" i="2"/>
  <c r="C7" i="2"/>
  <c r="H7" i="2"/>
  <c r="M7" i="2"/>
  <c r="R7" i="2"/>
  <c r="C8" i="2"/>
  <c r="H8" i="2"/>
  <c r="M8" i="2"/>
  <c r="R8" i="2"/>
  <c r="C9" i="2"/>
  <c r="H9" i="2"/>
  <c r="M9" i="2"/>
  <c r="R9" i="2"/>
  <c r="C10" i="2"/>
  <c r="H10" i="2"/>
  <c r="M10" i="2"/>
  <c r="R10" i="2"/>
  <c r="C11" i="2"/>
  <c r="H11" i="2"/>
  <c r="M11" i="2"/>
  <c r="R11" i="2"/>
  <c r="C12" i="2"/>
  <c r="H12" i="2"/>
  <c r="M12" i="2"/>
  <c r="R12" i="2"/>
  <c r="C13" i="2"/>
  <c r="H13" i="2"/>
  <c r="M13" i="2"/>
  <c r="R13" i="2"/>
  <c r="C14" i="2"/>
  <c r="H14" i="2"/>
  <c r="M14" i="2"/>
  <c r="R14" i="2"/>
  <c r="C15" i="2"/>
  <c r="H15" i="2"/>
  <c r="M15" i="2"/>
  <c r="R15" i="2"/>
  <c r="C16" i="2"/>
  <c r="H16" i="2"/>
  <c r="M16" i="2"/>
  <c r="R16" i="2"/>
  <c r="C17" i="2"/>
  <c r="H17" i="2"/>
  <c r="M17" i="2"/>
  <c r="R17" i="2"/>
  <c r="C18" i="2"/>
  <c r="H18" i="2"/>
  <c r="M18" i="2"/>
  <c r="R18" i="2"/>
  <c r="C19" i="2"/>
  <c r="H19" i="2"/>
  <c r="M19" i="2"/>
  <c r="R19" i="2"/>
  <c r="C20" i="2"/>
  <c r="H20" i="2"/>
  <c r="M20" i="2"/>
  <c r="R20" i="2"/>
  <c r="C21" i="2"/>
  <c r="H21" i="2"/>
  <c r="M21" i="2"/>
  <c r="R21" i="2"/>
  <c r="C22" i="2"/>
  <c r="H22" i="2"/>
  <c r="M22" i="2"/>
  <c r="R22" i="2"/>
  <c r="C23" i="2"/>
  <c r="H23" i="2"/>
  <c r="M23" i="2"/>
  <c r="R23" i="2"/>
  <c r="C24" i="2"/>
  <c r="H24" i="2"/>
  <c r="M24" i="2"/>
  <c r="R24" i="2"/>
  <c r="D6" i="2"/>
  <c r="C3" i="2"/>
  <c r="I6" i="2"/>
  <c r="H3" i="2"/>
  <c r="N6" i="2"/>
  <c r="M3" i="2"/>
  <c r="S6" i="2"/>
  <c r="R3" i="2"/>
  <c r="D7" i="2"/>
  <c r="E7" i="2" s="1"/>
  <c r="I7" i="2"/>
  <c r="J7" i="2" s="1"/>
  <c r="N7" i="2"/>
  <c r="S7" i="2"/>
  <c r="T7" i="2" s="1"/>
  <c r="D8" i="2"/>
  <c r="I8" i="2"/>
  <c r="N8" i="2"/>
  <c r="S8" i="2"/>
  <c r="D9" i="2"/>
  <c r="I9" i="2"/>
  <c r="J9" i="2" s="1"/>
  <c r="N9" i="2"/>
  <c r="O9" i="2" s="1"/>
  <c r="S9" i="2"/>
  <c r="T9" i="2" s="1"/>
  <c r="D10" i="2"/>
  <c r="E10" i="2" s="1"/>
  <c r="I10" i="2"/>
  <c r="N10" i="2"/>
  <c r="S10" i="2"/>
  <c r="D11" i="2"/>
  <c r="I11" i="2"/>
  <c r="J11" i="2" s="1"/>
  <c r="N11" i="2"/>
  <c r="S11" i="2"/>
  <c r="T11" i="2" s="1"/>
  <c r="D12" i="2"/>
  <c r="I12" i="2"/>
  <c r="N12" i="2"/>
  <c r="S12" i="2"/>
  <c r="D13" i="2"/>
  <c r="I13" i="2"/>
  <c r="N13" i="2"/>
  <c r="S13" i="2"/>
  <c r="D14" i="2"/>
  <c r="I14" i="2"/>
  <c r="N14" i="2"/>
  <c r="S14" i="2"/>
  <c r="D15" i="2"/>
  <c r="I15" i="2"/>
  <c r="J15" i="2" s="1"/>
  <c r="N15" i="2"/>
  <c r="S15" i="2"/>
  <c r="D16" i="2"/>
  <c r="I16" i="2"/>
  <c r="N16" i="2"/>
  <c r="S16" i="2"/>
  <c r="D17" i="2"/>
  <c r="E17" i="2" s="1"/>
  <c r="I17" i="2"/>
  <c r="N17" i="2"/>
  <c r="S17" i="2"/>
  <c r="D18" i="2"/>
  <c r="I18" i="2"/>
  <c r="N18" i="2"/>
  <c r="S18" i="2"/>
  <c r="D19" i="2"/>
  <c r="E19" i="2" s="1"/>
  <c r="I19" i="2"/>
  <c r="J19" i="2" s="1"/>
  <c r="N19" i="2"/>
  <c r="S19" i="2"/>
  <c r="D20" i="2"/>
  <c r="I20" i="2"/>
  <c r="N20" i="2"/>
  <c r="S20" i="2"/>
  <c r="D21" i="2"/>
  <c r="I21" i="2"/>
  <c r="J21" i="2" s="1"/>
  <c r="N21" i="2"/>
  <c r="O21" i="2" s="1"/>
  <c r="S21" i="2"/>
  <c r="D22" i="2"/>
  <c r="I22" i="2"/>
  <c r="N22" i="2"/>
  <c r="S22" i="2"/>
  <c r="D23" i="2"/>
  <c r="I23" i="2"/>
  <c r="J23" i="2" s="1"/>
  <c r="N23" i="2"/>
  <c r="S23" i="2"/>
  <c r="D24" i="2"/>
  <c r="E24" i="2" s="1"/>
  <c r="I24" i="2"/>
  <c r="N24" i="2"/>
  <c r="S24" i="2"/>
  <c r="D5" i="2"/>
  <c r="I5" i="2"/>
  <c r="J5" i="2" s="1"/>
  <c r="N5" i="2"/>
  <c r="O5" i="2" s="1"/>
  <c r="P5" i="2" s="1"/>
  <c r="S5" i="2"/>
  <c r="T5" i="2" s="1"/>
  <c r="U5" i="2" s="1"/>
  <c r="E3" i="2"/>
  <c r="T3" i="2"/>
  <c r="O3" i="2"/>
  <c r="J3" i="2"/>
  <c r="E11" i="2"/>
  <c r="AI99" i="2"/>
  <c r="T17" i="2" l="1"/>
  <c r="T15" i="2"/>
  <c r="O7" i="2"/>
  <c r="J17" i="2"/>
  <c r="J13" i="2"/>
  <c r="J6" i="2"/>
  <c r="K6" i="2" s="1"/>
  <c r="T24" i="2"/>
  <c r="T22" i="2"/>
  <c r="T20" i="2"/>
  <c r="W17" i="2"/>
  <c r="X14" i="2"/>
  <c r="J22" i="2"/>
  <c r="J18" i="2"/>
  <c r="T18" i="2"/>
  <c r="E8" i="2"/>
  <c r="W9" i="2"/>
  <c r="T12" i="2"/>
  <c r="T10" i="2"/>
  <c r="O24" i="2"/>
  <c r="O22" i="2"/>
  <c r="O20" i="2"/>
  <c r="X8" i="2"/>
  <c r="X19" i="2"/>
  <c r="X17" i="2"/>
  <c r="O16" i="2"/>
  <c r="T8" i="2"/>
  <c r="T6" i="2"/>
  <c r="U7" i="2" s="1"/>
  <c r="T23" i="2"/>
  <c r="T19" i="2"/>
  <c r="E16" i="2"/>
  <c r="X24" i="2"/>
  <c r="X22" i="2"/>
  <c r="W20" i="2"/>
  <c r="E18" i="2"/>
  <c r="J16" i="2"/>
  <c r="J14" i="2"/>
  <c r="J12" i="2"/>
  <c r="J10" i="2"/>
  <c r="O8" i="2"/>
  <c r="Z6" i="2"/>
  <c r="W10" i="2"/>
  <c r="Z16" i="2"/>
  <c r="Z15" i="2"/>
  <c r="Z13" i="2"/>
  <c r="X11" i="2"/>
  <c r="X9" i="2"/>
  <c r="O23" i="2"/>
  <c r="X5" i="2"/>
  <c r="X16" i="2"/>
  <c r="O15" i="2"/>
  <c r="O13" i="2"/>
  <c r="W11" i="2"/>
  <c r="J20" i="2"/>
  <c r="O14" i="2"/>
  <c r="O12" i="2"/>
  <c r="E21" i="2"/>
  <c r="Z24" i="2"/>
  <c r="X18" i="2"/>
  <c r="X21" i="2"/>
  <c r="X10" i="2"/>
  <c r="J24" i="2"/>
  <c r="T16" i="2"/>
  <c r="E9" i="2"/>
  <c r="Z22" i="2"/>
  <c r="X20" i="2"/>
  <c r="Z10" i="2"/>
  <c r="W19" i="2"/>
  <c r="J8" i="2"/>
  <c r="W14" i="2"/>
  <c r="Z18" i="2"/>
  <c r="Z8" i="2"/>
  <c r="Z19" i="2"/>
  <c r="W23" i="2"/>
  <c r="W8" i="2"/>
  <c r="W6" i="2"/>
  <c r="Z5" i="2"/>
  <c r="Z14" i="2"/>
  <c r="X12" i="2"/>
  <c r="E6" i="2"/>
  <c r="O17" i="2"/>
  <c r="X13" i="2"/>
  <c r="O6" i="2"/>
  <c r="P6" i="2" s="1"/>
  <c r="W15" i="2"/>
  <c r="E13" i="2"/>
  <c r="Z7" i="2"/>
  <c r="X7" i="2"/>
  <c r="E23" i="2"/>
  <c r="E15" i="2"/>
  <c r="Z23" i="2"/>
  <c r="Z21" i="2"/>
  <c r="Z17" i="2"/>
  <c r="Z11" i="2"/>
  <c r="T14" i="2"/>
  <c r="W16" i="2"/>
  <c r="E14" i="2"/>
  <c r="Z9" i="2"/>
  <c r="X6" i="2"/>
  <c r="W24" i="2"/>
  <c r="W22" i="2"/>
  <c r="W18" i="2"/>
  <c r="W12" i="2"/>
  <c r="W7" i="2"/>
  <c r="F33" i="2" s="1"/>
  <c r="E5" i="2"/>
  <c r="F6" i="2" s="1"/>
  <c r="Z20" i="2"/>
  <c r="Z12" i="2"/>
  <c r="W21" i="2"/>
  <c r="W13" i="2"/>
  <c r="W5" i="2"/>
  <c r="O19" i="2"/>
  <c r="O11" i="2"/>
  <c r="E22" i="2"/>
  <c r="T21" i="2"/>
  <c r="T13" i="2"/>
  <c r="O18" i="2"/>
  <c r="O10" i="2"/>
  <c r="K5" i="2"/>
  <c r="E20" i="2"/>
  <c r="E12" i="2"/>
  <c r="X23" i="2"/>
  <c r="X15" i="2"/>
  <c r="F47" i="2" l="1"/>
  <c r="F50" i="2"/>
  <c r="F36" i="2"/>
  <c r="K7" i="2"/>
  <c r="J32" i="2"/>
  <c r="F49" i="2"/>
  <c r="B60" i="2"/>
  <c r="F35" i="2"/>
  <c r="B59" i="2"/>
  <c r="F34" i="2"/>
  <c r="F46" i="2"/>
  <c r="F42" i="2"/>
  <c r="B63" i="2"/>
  <c r="F38" i="2"/>
  <c r="B65" i="2"/>
  <c r="F40" i="2"/>
  <c r="B56" i="2"/>
  <c r="F31" i="2"/>
  <c r="F44" i="2"/>
  <c r="B62" i="2"/>
  <c r="B61" i="2" s="1"/>
  <c r="F37" i="2"/>
  <c r="F43" i="2"/>
  <c r="F39" i="2"/>
  <c r="F48" i="2"/>
  <c r="B66" i="2"/>
  <c r="B67" i="2" s="1"/>
  <c r="F41" i="2"/>
  <c r="F32" i="2"/>
  <c r="F45" i="2"/>
  <c r="U6" i="2"/>
  <c r="B57" i="2"/>
  <c r="B58" i="2" s="1"/>
  <c r="U9" i="2"/>
  <c r="K12" i="2"/>
  <c r="P7" i="2"/>
  <c r="K9" i="2"/>
  <c r="U8" i="2"/>
  <c r="U12" i="2"/>
  <c r="U11" i="2"/>
  <c r="U14" i="2"/>
  <c r="U10" i="2"/>
  <c r="K14" i="2"/>
  <c r="K10" i="2"/>
  <c r="F5" i="2"/>
  <c r="J31" i="2" s="1"/>
  <c r="F18" i="2"/>
  <c r="F7" i="2"/>
  <c r="P8" i="2"/>
  <c r="K17" i="2"/>
  <c r="F22" i="2"/>
  <c r="K20" i="2"/>
  <c r="K18" i="2"/>
  <c r="K22" i="2"/>
  <c r="P9" i="2"/>
  <c r="K24" i="2"/>
  <c r="K23" i="2"/>
  <c r="F8" i="2"/>
  <c r="F14" i="2"/>
  <c r="K16" i="2"/>
  <c r="F17" i="2"/>
  <c r="K11" i="2"/>
  <c r="K21" i="2"/>
  <c r="K19" i="2"/>
  <c r="K15" i="2"/>
  <c r="K13" i="2"/>
  <c r="P22" i="2"/>
  <c r="K8" i="2"/>
  <c r="F9" i="2"/>
  <c r="F13" i="2"/>
  <c r="F16" i="2"/>
  <c r="P23" i="2"/>
  <c r="P20" i="2"/>
  <c r="P14" i="2"/>
  <c r="F11" i="2"/>
  <c r="P12" i="2"/>
  <c r="F12" i="2"/>
  <c r="F10" i="2"/>
  <c r="F19" i="2"/>
  <c r="F20" i="2"/>
  <c r="U13" i="2"/>
  <c r="P21" i="2"/>
  <c r="P13" i="2"/>
  <c r="U20" i="2"/>
  <c r="U19" i="2"/>
  <c r="U22" i="2"/>
  <c r="U21" i="2"/>
  <c r="P19" i="2"/>
  <c r="P11" i="2"/>
  <c r="U18" i="2"/>
  <c r="P18" i="2"/>
  <c r="P10" i="2"/>
  <c r="U24" i="2"/>
  <c r="U17" i="2"/>
  <c r="F24" i="2"/>
  <c r="F15" i="2"/>
  <c r="P24" i="2"/>
  <c r="P17" i="2"/>
  <c r="U16" i="2"/>
  <c r="F23" i="2"/>
  <c r="P16" i="2"/>
  <c r="U15" i="2"/>
  <c r="F21" i="2"/>
  <c r="P15" i="2"/>
  <c r="U23" i="2"/>
  <c r="J36" i="2" l="1"/>
  <c r="J47" i="2"/>
  <c r="J37" i="2"/>
  <c r="J42" i="2"/>
  <c r="J38" i="2"/>
  <c r="J34" i="2"/>
  <c r="J41" i="2"/>
  <c r="J46" i="2"/>
  <c r="J35" i="2"/>
  <c r="J40" i="2"/>
  <c r="J48" i="2"/>
  <c r="J39" i="2"/>
  <c r="J33" i="2"/>
  <c r="J45" i="2"/>
  <c r="J44" i="2"/>
  <c r="J43" i="2"/>
  <c r="J50" i="2"/>
  <c r="J49" i="2"/>
  <c r="B64" i="2"/>
  <c r="B32" i="2"/>
  <c r="E62" i="2"/>
  <c r="E60" i="2"/>
  <c r="E61" i="2"/>
  <c r="E59" i="2"/>
  <c r="G36" i="2"/>
  <c r="E63" i="2"/>
  <c r="E58" i="2"/>
  <c r="B31" i="2"/>
  <c r="G34" i="2"/>
  <c r="G43" i="2"/>
  <c r="G44" i="2"/>
  <c r="G46" i="2"/>
  <c r="G38" i="2"/>
  <c r="G33" i="2"/>
  <c r="G32" i="2"/>
  <c r="G42" i="2"/>
  <c r="B34" i="2"/>
  <c r="G49" i="2"/>
  <c r="B33" i="2"/>
  <c r="B35" i="2"/>
  <c r="G35" i="2"/>
  <c r="B40" i="2"/>
  <c r="G41" i="2"/>
  <c r="G37" i="2"/>
  <c r="G45" i="2"/>
  <c r="G40" i="2"/>
  <c r="B43" i="2"/>
  <c r="B38" i="2"/>
  <c r="B37" i="2"/>
  <c r="B36" i="2"/>
  <c r="B44" i="2"/>
  <c r="G39" i="2"/>
  <c r="B39" i="2"/>
  <c r="B41" i="2"/>
  <c r="B42" i="2"/>
  <c r="B50" i="2"/>
  <c r="B49" i="2"/>
  <c r="B45" i="2"/>
  <c r="B48" i="2"/>
  <c r="B46" i="2"/>
  <c r="B47" i="2"/>
  <c r="E57" i="2"/>
  <c r="G48" i="2"/>
  <c r="G47" i="2"/>
  <c r="K35" i="2"/>
  <c r="E65" i="2" l="1"/>
  <c r="E64" i="2"/>
  <c r="E66" i="2"/>
  <c r="E67" i="2"/>
  <c r="K34" i="2"/>
  <c r="K37" i="2"/>
  <c r="C32" i="2"/>
  <c r="K49" i="2"/>
  <c r="C33" i="2"/>
  <c r="K48" i="2"/>
  <c r="K33" i="2"/>
  <c r="K32" i="2"/>
  <c r="K38" i="2"/>
  <c r="C34" i="2"/>
  <c r="C40" i="2"/>
  <c r="C35" i="2"/>
  <c r="K39" i="2"/>
  <c r="K46" i="2"/>
  <c r="K43" i="2"/>
  <c r="K36" i="2"/>
  <c r="C43" i="2"/>
  <c r="K41" i="2"/>
  <c r="K40" i="2"/>
  <c r="C36" i="2"/>
  <c r="C48" i="2"/>
  <c r="C37" i="2"/>
  <c r="C42" i="2"/>
  <c r="C46" i="2"/>
  <c r="C41" i="2"/>
  <c r="C44" i="2"/>
  <c r="C38" i="2"/>
  <c r="K47" i="2"/>
  <c r="C45" i="2"/>
  <c r="C47" i="2"/>
  <c r="K44" i="2"/>
  <c r="K45" i="2"/>
  <c r="C39" i="2"/>
  <c r="C49" i="2"/>
  <c r="K42" i="2"/>
  <c r="M66" i="2"/>
  <c r="H66" i="2" s="1"/>
  <c r="M60" i="2"/>
  <c r="H60" i="2" s="1"/>
  <c r="N67" i="2"/>
  <c r="I67" i="2" s="1"/>
  <c r="M67" i="2"/>
  <c r="H67" i="2" s="1"/>
  <c r="M61" i="2"/>
  <c r="H61" i="2" s="1"/>
  <c r="M65" i="2"/>
  <c r="H65" i="2" s="1"/>
  <c r="M59" i="2"/>
  <c r="H59" i="2" s="1"/>
  <c r="N64" i="2"/>
  <c r="I64" i="2" s="1"/>
  <c r="M64" i="2"/>
  <c r="H64" i="2" s="1"/>
  <c r="N61" i="2"/>
  <c r="I61" i="2" s="1"/>
  <c r="N65" i="2"/>
  <c r="I65" i="2" s="1"/>
  <c r="M63" i="2"/>
  <c r="H63" i="2" s="1"/>
  <c r="M62" i="2"/>
  <c r="H62" i="2" s="1"/>
  <c r="N66" i="2"/>
  <c r="I66" i="2" s="1"/>
  <c r="N63" i="2"/>
  <c r="I63" i="2" s="1"/>
  <c r="N59" i="2"/>
  <c r="I59" i="2" s="1"/>
  <c r="N60" i="2"/>
  <c r="I60" i="2" s="1"/>
  <c r="N58" i="2"/>
  <c r="I58" i="2" s="1"/>
  <c r="N62" i="2"/>
  <c r="I62" i="2" s="1"/>
  <c r="C59" i="2" l="1"/>
  <c r="Y40" i="2"/>
  <c r="Y48" i="2"/>
  <c r="Y56" i="2"/>
  <c r="Y64" i="2"/>
  <c r="Y72" i="2"/>
  <c r="Y80" i="2"/>
  <c r="Y88" i="2"/>
  <c r="Y96" i="2"/>
  <c r="Y41" i="2"/>
  <c r="Y49" i="2"/>
  <c r="Y57" i="2"/>
  <c r="Y65" i="2"/>
  <c r="Y73" i="2"/>
  <c r="Y81" i="2"/>
  <c r="Y89" i="2"/>
  <c r="Y97" i="2"/>
  <c r="Y43" i="2"/>
  <c r="Y51" i="2"/>
  <c r="Y59" i="2"/>
  <c r="Y67" i="2"/>
  <c r="Y75" i="2"/>
  <c r="Y83" i="2"/>
  <c r="Y91" i="2"/>
  <c r="Y99" i="2"/>
  <c r="Y44" i="2"/>
  <c r="Y52" i="2"/>
  <c r="Y60" i="2"/>
  <c r="Y68" i="2"/>
  <c r="Y76" i="2"/>
  <c r="Y84" i="2"/>
  <c r="Y92" i="2"/>
  <c r="Y37" i="2"/>
  <c r="Y45" i="2"/>
  <c r="Y53" i="2"/>
  <c r="Y61" i="2"/>
  <c r="Y69" i="2"/>
  <c r="Y77" i="2"/>
  <c r="Y85" i="2"/>
  <c r="Y93" i="2"/>
  <c r="Y46" i="2"/>
  <c r="Y66" i="2"/>
  <c r="Y87" i="2"/>
  <c r="Y47" i="2"/>
  <c r="Y70" i="2"/>
  <c r="Y90" i="2"/>
  <c r="Y50" i="2"/>
  <c r="Y71" i="2"/>
  <c r="Y94" i="2"/>
  <c r="Y54" i="2"/>
  <c r="Y74" i="2"/>
  <c r="Y95" i="2"/>
  <c r="Y55" i="2"/>
  <c r="Y78" i="2"/>
  <c r="Y98" i="2"/>
  <c r="Y38" i="2"/>
  <c r="Y58" i="2"/>
  <c r="Y79" i="2"/>
  <c r="Y39" i="2"/>
  <c r="C63" i="2"/>
  <c r="Y42" i="2"/>
  <c r="Y62" i="2"/>
  <c r="Y63" i="2"/>
  <c r="Y86" i="2"/>
  <c r="Y82" i="2"/>
  <c r="AA43" i="2"/>
  <c r="AA52" i="2"/>
  <c r="AA60" i="2"/>
  <c r="AA68" i="2"/>
  <c r="AA76" i="2"/>
  <c r="AA84" i="2"/>
  <c r="AA92" i="2"/>
  <c r="AA44" i="2"/>
  <c r="AA53" i="2"/>
  <c r="AA61" i="2"/>
  <c r="AA69" i="2"/>
  <c r="AA77" i="2"/>
  <c r="AA85" i="2"/>
  <c r="AA93" i="2"/>
  <c r="AA45" i="2"/>
  <c r="AA46" i="2"/>
  <c r="AA55" i="2"/>
  <c r="AA63" i="2"/>
  <c r="AA71" i="2"/>
  <c r="AA79" i="2"/>
  <c r="AA87" i="2"/>
  <c r="AA95" i="2"/>
  <c r="AA39" i="2"/>
  <c r="AA47" i="2"/>
  <c r="AA56" i="2"/>
  <c r="AA64" i="2"/>
  <c r="AA72" i="2"/>
  <c r="AA80" i="2"/>
  <c r="AA88" i="2"/>
  <c r="AA96" i="2"/>
  <c r="AA40" i="2"/>
  <c r="AA48" i="2"/>
  <c r="AA57" i="2"/>
  <c r="AA65" i="2"/>
  <c r="AA73" i="2"/>
  <c r="AA81" i="2"/>
  <c r="AA89" i="2"/>
  <c r="AA97" i="2"/>
  <c r="AA51" i="2"/>
  <c r="AA74" i="2"/>
  <c r="AA94" i="2"/>
  <c r="AA54" i="2"/>
  <c r="AA75" i="2"/>
  <c r="AA98" i="2"/>
  <c r="AA41" i="2"/>
  <c r="AA58" i="2"/>
  <c r="AA78" i="2"/>
  <c r="AA99" i="2"/>
  <c r="AA42" i="2"/>
  <c r="AA59" i="2"/>
  <c r="AA82" i="2"/>
  <c r="AA49" i="2"/>
  <c r="AA62" i="2"/>
  <c r="AA83" i="2"/>
  <c r="AA66" i="2"/>
  <c r="AA86" i="2"/>
  <c r="AA91" i="2"/>
  <c r="C65" i="2"/>
  <c r="AA90" i="2"/>
  <c r="AA50" i="2"/>
  <c r="AA67" i="2"/>
  <c r="AA70" i="2"/>
  <c r="V40" i="2"/>
  <c r="V48" i="2"/>
  <c r="V56" i="2"/>
  <c r="V64" i="2"/>
  <c r="V72" i="2"/>
  <c r="V80" i="2"/>
  <c r="V88" i="2"/>
  <c r="V96" i="2"/>
  <c r="V41" i="2"/>
  <c r="V49" i="2"/>
  <c r="V57" i="2"/>
  <c r="V65" i="2"/>
  <c r="V73" i="2"/>
  <c r="V81" i="2"/>
  <c r="V89" i="2"/>
  <c r="V97" i="2"/>
  <c r="V34" i="2"/>
  <c r="V42" i="2"/>
  <c r="V50" i="2"/>
  <c r="V58" i="2"/>
  <c r="V66" i="2"/>
  <c r="V74" i="2"/>
  <c r="V82" i="2"/>
  <c r="V90" i="2"/>
  <c r="V98" i="2"/>
  <c r="V35" i="2"/>
  <c r="V43" i="2"/>
  <c r="V51" i="2"/>
  <c r="V59" i="2"/>
  <c r="V67" i="2"/>
  <c r="V75" i="2"/>
  <c r="V83" i="2"/>
  <c r="V91" i="2"/>
  <c r="V99" i="2"/>
  <c r="V36" i="2"/>
  <c r="V44" i="2"/>
  <c r="V52" i="2"/>
  <c r="V60" i="2"/>
  <c r="V68" i="2"/>
  <c r="V76" i="2"/>
  <c r="V84" i="2"/>
  <c r="V92" i="2"/>
  <c r="V37" i="2"/>
  <c r="V45" i="2"/>
  <c r="V53" i="2"/>
  <c r="V61" i="2"/>
  <c r="V69" i="2"/>
  <c r="V77" i="2"/>
  <c r="V85" i="2"/>
  <c r="V93" i="2"/>
  <c r="V47" i="2"/>
  <c r="V79" i="2"/>
  <c r="V54" i="2"/>
  <c r="V86" i="2"/>
  <c r="V55" i="2"/>
  <c r="V87" i="2"/>
  <c r="V62" i="2"/>
  <c r="V94" i="2"/>
  <c r="V63" i="2"/>
  <c r="V95" i="2"/>
  <c r="V38" i="2"/>
  <c r="V70" i="2"/>
  <c r="C60" i="2"/>
  <c r="V39" i="2"/>
  <c r="V46" i="2"/>
  <c r="V78" i="2"/>
  <c r="V71" i="2"/>
  <c r="AB41" i="2"/>
  <c r="AB49" i="2"/>
  <c r="AB50" i="2"/>
  <c r="AB58" i="2"/>
  <c r="AB66" i="2"/>
  <c r="AB74" i="2"/>
  <c r="AB82" i="2"/>
  <c r="AB90" i="2"/>
  <c r="AB98" i="2"/>
  <c r="AB42" i="2"/>
  <c r="AB51" i="2"/>
  <c r="AB59" i="2"/>
  <c r="AB67" i="2"/>
  <c r="AB75" i="2"/>
  <c r="AB83" i="2"/>
  <c r="AB91" i="2"/>
  <c r="AB99" i="2"/>
  <c r="AB43" i="2"/>
  <c r="AB44" i="2"/>
  <c r="AB53" i="2"/>
  <c r="AB61" i="2"/>
  <c r="AB45" i="2"/>
  <c r="AB54" i="2"/>
  <c r="AB62" i="2"/>
  <c r="AB70" i="2"/>
  <c r="AB46" i="2"/>
  <c r="AB55" i="2"/>
  <c r="AB63" i="2"/>
  <c r="AB71" i="2"/>
  <c r="AB65" i="2"/>
  <c r="AB79" i="2"/>
  <c r="AB89" i="2"/>
  <c r="AB68" i="2"/>
  <c r="AB80" i="2"/>
  <c r="AB92" i="2"/>
  <c r="AB69" i="2"/>
  <c r="AB81" i="2"/>
  <c r="AB93" i="2"/>
  <c r="AB52" i="2"/>
  <c r="AB72" i="2"/>
  <c r="AB84" i="2"/>
  <c r="AB94" i="2"/>
  <c r="AB56" i="2"/>
  <c r="AB73" i="2"/>
  <c r="AB85" i="2"/>
  <c r="AB95" i="2"/>
  <c r="AB40" i="2"/>
  <c r="AB57" i="2"/>
  <c r="AB76" i="2"/>
  <c r="AB86" i="2"/>
  <c r="AB96" i="2"/>
  <c r="AB47" i="2"/>
  <c r="AB48" i="2"/>
  <c r="AB60" i="2"/>
  <c r="C66" i="2"/>
  <c r="AB64" i="2"/>
  <c r="AB77" i="2"/>
  <c r="AB78" i="2"/>
  <c r="AB88" i="2"/>
  <c r="AB97" i="2"/>
  <c r="AB87" i="2"/>
  <c r="X39" i="2"/>
  <c r="X47" i="2"/>
  <c r="X55" i="2"/>
  <c r="X63" i="2"/>
  <c r="X71" i="2"/>
  <c r="X79" i="2"/>
  <c r="X87" i="2"/>
  <c r="X95" i="2"/>
  <c r="X40" i="2"/>
  <c r="X48" i="2"/>
  <c r="X56" i="2"/>
  <c r="X64" i="2"/>
  <c r="X72" i="2"/>
  <c r="X80" i="2"/>
  <c r="X88" i="2"/>
  <c r="X96" i="2"/>
  <c r="X42" i="2"/>
  <c r="X50" i="2"/>
  <c r="X58" i="2"/>
  <c r="X66" i="2"/>
  <c r="X74" i="2"/>
  <c r="X82" i="2"/>
  <c r="X90" i="2"/>
  <c r="X98" i="2"/>
  <c r="X43" i="2"/>
  <c r="X51" i="2"/>
  <c r="X59" i="2"/>
  <c r="X67" i="2"/>
  <c r="X75" i="2"/>
  <c r="X83" i="2"/>
  <c r="X91" i="2"/>
  <c r="X99" i="2"/>
  <c r="X36" i="2"/>
  <c r="X44" i="2"/>
  <c r="X52" i="2"/>
  <c r="X60" i="2"/>
  <c r="X68" i="2"/>
  <c r="X76" i="2"/>
  <c r="X84" i="2"/>
  <c r="X92" i="2"/>
  <c r="X45" i="2"/>
  <c r="X65" i="2"/>
  <c r="X86" i="2"/>
  <c r="X46" i="2"/>
  <c r="X69" i="2"/>
  <c r="X89" i="2"/>
  <c r="X49" i="2"/>
  <c r="X70" i="2"/>
  <c r="X93" i="2"/>
  <c r="X53" i="2"/>
  <c r="X73" i="2"/>
  <c r="X94" i="2"/>
  <c r="X54" i="2"/>
  <c r="X77" i="2"/>
  <c r="X97" i="2"/>
  <c r="X37" i="2"/>
  <c r="X57" i="2"/>
  <c r="X78" i="2"/>
  <c r="X85" i="2"/>
  <c r="X38" i="2"/>
  <c r="X41" i="2"/>
  <c r="X61" i="2"/>
  <c r="C62" i="2"/>
  <c r="X62" i="2"/>
  <c r="X81" i="2"/>
  <c r="W39" i="2"/>
  <c r="W47" i="2"/>
  <c r="W55" i="2"/>
  <c r="W63" i="2"/>
  <c r="W71" i="2"/>
  <c r="W79" i="2"/>
  <c r="W87" i="2"/>
  <c r="W95" i="2"/>
  <c r="W40" i="2"/>
  <c r="W48" i="2"/>
  <c r="W56" i="2"/>
  <c r="W64" i="2"/>
  <c r="W72" i="2"/>
  <c r="W80" i="2"/>
  <c r="W88" i="2"/>
  <c r="W96" i="2"/>
  <c r="W41" i="2"/>
  <c r="W49" i="2"/>
  <c r="W57" i="2"/>
  <c r="W65" i="2"/>
  <c r="W73" i="2"/>
  <c r="W81" i="2"/>
  <c r="W89" i="2"/>
  <c r="W97" i="2"/>
  <c r="W42" i="2"/>
  <c r="W50" i="2"/>
  <c r="W58" i="2"/>
  <c r="W66" i="2"/>
  <c r="W74" i="2"/>
  <c r="W82" i="2"/>
  <c r="W90" i="2"/>
  <c r="W98" i="2"/>
  <c r="W35" i="2"/>
  <c r="W43" i="2"/>
  <c r="W51" i="2"/>
  <c r="W59" i="2"/>
  <c r="W67" i="2"/>
  <c r="W75" i="2"/>
  <c r="W83" i="2"/>
  <c r="W91" i="2"/>
  <c r="W99" i="2"/>
  <c r="W36" i="2"/>
  <c r="W44" i="2"/>
  <c r="W52" i="2"/>
  <c r="W60" i="2"/>
  <c r="W68" i="2"/>
  <c r="W76" i="2"/>
  <c r="W84" i="2"/>
  <c r="W92" i="2"/>
  <c r="W46" i="2"/>
  <c r="W78" i="2"/>
  <c r="W53" i="2"/>
  <c r="W85" i="2"/>
  <c r="W54" i="2"/>
  <c r="W86" i="2"/>
  <c r="W61" i="2"/>
  <c r="W93" i="2"/>
  <c r="W62" i="2"/>
  <c r="W94" i="2"/>
  <c r="W37" i="2"/>
  <c r="W69" i="2"/>
  <c r="W45" i="2"/>
  <c r="W70" i="2"/>
  <c r="W77" i="2"/>
  <c r="W38" i="2"/>
  <c r="C61" i="2"/>
  <c r="AC48" i="2"/>
  <c r="AC56" i="2"/>
  <c r="AC64" i="2"/>
  <c r="AC72" i="2"/>
  <c r="AC80" i="2"/>
  <c r="AC88" i="2"/>
  <c r="AC96" i="2"/>
  <c r="AC41" i="2"/>
  <c r="AC49" i="2"/>
  <c r="AC57" i="2"/>
  <c r="AC65" i="2"/>
  <c r="AC73" i="2"/>
  <c r="AC81" i="2"/>
  <c r="AC89" i="2"/>
  <c r="AC97" i="2"/>
  <c r="AC42" i="2"/>
  <c r="AC43" i="2"/>
  <c r="AC44" i="2"/>
  <c r="AC45" i="2"/>
  <c r="AC46" i="2"/>
  <c r="AC51" i="2"/>
  <c r="AC61" i="2"/>
  <c r="AC71" i="2"/>
  <c r="AC83" i="2"/>
  <c r="AC93" i="2"/>
  <c r="AC47" i="2"/>
  <c r="AC52" i="2"/>
  <c r="AC62" i="2"/>
  <c r="AC74" i="2"/>
  <c r="AC84" i="2"/>
  <c r="AC94" i="2"/>
  <c r="AC53" i="2"/>
  <c r="AC63" i="2"/>
  <c r="AC75" i="2"/>
  <c r="AC85" i="2"/>
  <c r="AC95" i="2"/>
  <c r="AC54" i="2"/>
  <c r="AC66" i="2"/>
  <c r="AC76" i="2"/>
  <c r="AC86" i="2"/>
  <c r="AC98" i="2"/>
  <c r="AC55" i="2"/>
  <c r="AC67" i="2"/>
  <c r="AC77" i="2"/>
  <c r="AC87" i="2"/>
  <c r="AC99" i="2"/>
  <c r="AC58" i="2"/>
  <c r="AC68" i="2"/>
  <c r="AC78" i="2"/>
  <c r="AC90" i="2"/>
  <c r="AC50" i="2"/>
  <c r="AC92" i="2"/>
  <c r="C67" i="2"/>
  <c r="AC59" i="2"/>
  <c r="AC60" i="2"/>
  <c r="AC69" i="2"/>
  <c r="AC70" i="2"/>
  <c r="AC79" i="2"/>
  <c r="AC82" i="2"/>
  <c r="AC91" i="2"/>
  <c r="Z38" i="2"/>
  <c r="Z46" i="2"/>
  <c r="Z54" i="2"/>
  <c r="Z62" i="2"/>
  <c r="Z70" i="2"/>
  <c r="Z78" i="2"/>
  <c r="Z86" i="2"/>
  <c r="Z94" i="2"/>
  <c r="Z39" i="2"/>
  <c r="Z47" i="2"/>
  <c r="Z55" i="2"/>
  <c r="Z63" i="2"/>
  <c r="Z71" i="2"/>
  <c r="Z79" i="2"/>
  <c r="Z87" i="2"/>
  <c r="Z95" i="2"/>
  <c r="Z40" i="2"/>
  <c r="Z48" i="2"/>
  <c r="Z41" i="2"/>
  <c r="Z49" i="2"/>
  <c r="Z57" i="2"/>
  <c r="Z65" i="2"/>
  <c r="Z73" i="2"/>
  <c r="Z81" i="2"/>
  <c r="Z89" i="2"/>
  <c r="Z97" i="2"/>
  <c r="Z42" i="2"/>
  <c r="Z50" i="2"/>
  <c r="Z58" i="2"/>
  <c r="Z66" i="2"/>
  <c r="Z74" i="2"/>
  <c r="Z82" i="2"/>
  <c r="Z90" i="2"/>
  <c r="Z98" i="2"/>
  <c r="Z43" i="2"/>
  <c r="Z51" i="2"/>
  <c r="Z59" i="2"/>
  <c r="Z67" i="2"/>
  <c r="Z75" i="2"/>
  <c r="Z83" i="2"/>
  <c r="Z91" i="2"/>
  <c r="Z99" i="2"/>
  <c r="Z44" i="2"/>
  <c r="Z60" i="2"/>
  <c r="Z80" i="2"/>
  <c r="Z45" i="2"/>
  <c r="Z61" i="2"/>
  <c r="Z84" i="2"/>
  <c r="Z64" i="2"/>
  <c r="Z85" i="2"/>
  <c r="Z68" i="2"/>
  <c r="Z88" i="2"/>
  <c r="Z69" i="2"/>
  <c r="Z92" i="2"/>
  <c r="Z52" i="2"/>
  <c r="Z72" i="2"/>
  <c r="Z93" i="2"/>
  <c r="Z56" i="2"/>
  <c r="Z76" i="2"/>
  <c r="Z53" i="2"/>
  <c r="C64" i="2"/>
  <c r="Z77" i="2"/>
  <c r="Z96" i="2"/>
  <c r="U35" i="2"/>
  <c r="U43" i="2"/>
  <c r="U51" i="2"/>
  <c r="U39" i="2"/>
  <c r="U47" i="2"/>
  <c r="U55" i="2"/>
  <c r="U38" i="2"/>
  <c r="U49" i="2"/>
  <c r="U59" i="2"/>
  <c r="U67" i="2"/>
  <c r="U75" i="2"/>
  <c r="U83" i="2"/>
  <c r="U91" i="2"/>
  <c r="U99" i="2"/>
  <c r="U41" i="2"/>
  <c r="U61" i="2"/>
  <c r="U77" i="2"/>
  <c r="U93" i="2"/>
  <c r="U78" i="2"/>
  <c r="U46" i="2"/>
  <c r="U81" i="2"/>
  <c r="U97" i="2"/>
  <c r="U58" i="2"/>
  <c r="U40" i="2"/>
  <c r="U50" i="2"/>
  <c r="U60" i="2"/>
  <c r="U68" i="2"/>
  <c r="U76" i="2"/>
  <c r="U84" i="2"/>
  <c r="U92" i="2"/>
  <c r="U33" i="2"/>
  <c r="U52" i="2"/>
  <c r="U69" i="2"/>
  <c r="U85" i="2"/>
  <c r="U70" i="2"/>
  <c r="U94" i="2"/>
  <c r="U36" i="2"/>
  <c r="U57" i="2"/>
  <c r="U89" i="2"/>
  <c r="U37" i="2"/>
  <c r="U74" i="2"/>
  <c r="U42" i="2"/>
  <c r="U53" i="2"/>
  <c r="U62" i="2"/>
  <c r="U86" i="2"/>
  <c r="U48" i="2"/>
  <c r="U90" i="2"/>
  <c r="U44" i="2"/>
  <c r="U54" i="2"/>
  <c r="U63" i="2"/>
  <c r="U71" i="2"/>
  <c r="U79" i="2"/>
  <c r="U87" i="2"/>
  <c r="U95" i="2"/>
  <c r="U65" i="2"/>
  <c r="U82" i="2"/>
  <c r="U34" i="2"/>
  <c r="U45" i="2"/>
  <c r="U56" i="2"/>
  <c r="U64" i="2"/>
  <c r="U72" i="2"/>
  <c r="U80" i="2"/>
  <c r="U88" i="2"/>
  <c r="U96" i="2"/>
  <c r="U73" i="2"/>
  <c r="U66" i="2"/>
  <c r="U98" i="2"/>
  <c r="N57" i="2" l="1"/>
  <c r="I57" i="2" s="1"/>
  <c r="M57" i="2"/>
  <c r="H57" i="2" s="1"/>
  <c r="M58" i="2"/>
  <c r="H58" i="2" s="1"/>
  <c r="S31" i="2" l="1"/>
  <c r="S47" i="2"/>
  <c r="S86" i="2"/>
  <c r="S33" i="2"/>
  <c r="S34" i="2"/>
  <c r="S43" i="2"/>
  <c r="S36" i="2"/>
  <c r="S45" i="2"/>
  <c r="S95" i="2"/>
  <c r="S74" i="2"/>
  <c r="S96" i="2"/>
  <c r="S53" i="2"/>
  <c r="S94" i="2"/>
  <c r="S52" i="2"/>
  <c r="S78" i="2"/>
  <c r="S61" i="2"/>
  <c r="S51" i="2"/>
  <c r="S44" i="2"/>
  <c r="S55" i="2"/>
  <c r="S63" i="2"/>
  <c r="S99" i="2"/>
  <c r="S73" i="2"/>
  <c r="S57" i="2"/>
  <c r="S88" i="2"/>
  <c r="S60" i="2"/>
  <c r="S35" i="2"/>
  <c r="S90" i="2"/>
  <c r="S97" i="2"/>
  <c r="S37" i="2"/>
  <c r="S41" i="2"/>
  <c r="S72" i="2"/>
  <c r="S70" i="2"/>
  <c r="S67" i="2"/>
  <c r="S50" i="2"/>
  <c r="S80" i="2"/>
  <c r="S84" i="2"/>
  <c r="S56" i="2"/>
  <c r="S66" i="2"/>
  <c r="S93" i="2"/>
  <c r="S87" i="2"/>
  <c r="S85" i="2"/>
  <c r="S42" i="2"/>
  <c r="S92" i="2"/>
  <c r="S79" i="2"/>
  <c r="S69" i="2"/>
  <c r="S65" i="2"/>
  <c r="S46" i="2"/>
  <c r="S81" i="2"/>
  <c r="S38" i="2"/>
  <c r="S75" i="2"/>
  <c r="S71" i="2"/>
  <c r="S91" i="2"/>
  <c r="S68" i="2"/>
  <c r="S58" i="2"/>
  <c r="S82" i="2"/>
  <c r="S83" i="2"/>
  <c r="S49" i="2"/>
  <c r="S48" i="2"/>
  <c r="S76" i="2"/>
  <c r="S77" i="2"/>
  <c r="S59" i="2"/>
  <c r="S64" i="2"/>
  <c r="S62" i="2"/>
  <c r="S54" i="2"/>
  <c r="S39" i="2"/>
  <c r="S89" i="2"/>
  <c r="S98" i="2"/>
  <c r="S32" i="2"/>
  <c r="C57" i="2"/>
  <c r="S40" i="2"/>
  <c r="T56" i="2"/>
  <c r="T67" i="2"/>
  <c r="T47" i="2"/>
  <c r="T40" i="2"/>
  <c r="T90" i="2"/>
  <c r="T51" i="2"/>
  <c r="T93" i="2"/>
  <c r="T36" i="2"/>
  <c r="T54" i="2"/>
  <c r="T81" i="2"/>
  <c r="T41" i="2"/>
  <c r="T99" i="2"/>
  <c r="T34" i="2"/>
  <c r="T92" i="2"/>
  <c r="T65" i="2"/>
  <c r="T60" i="2"/>
  <c r="T82" i="2"/>
  <c r="T83" i="2"/>
  <c r="T33" i="2"/>
  <c r="T94" i="2"/>
  <c r="T37" i="2"/>
  <c r="T71" i="2"/>
  <c r="T50" i="2"/>
  <c r="C58" i="2"/>
  <c r="T43" i="2"/>
  <c r="T66" i="2"/>
  <c r="T91" i="2"/>
  <c r="T61" i="2"/>
  <c r="T75" i="2"/>
  <c r="T84" i="2"/>
  <c r="T76" i="2"/>
  <c r="T98" i="2"/>
  <c r="T95" i="2"/>
  <c r="T38" i="2"/>
  <c r="T97" i="2"/>
  <c r="T89" i="2"/>
  <c r="T80" i="2"/>
  <c r="T59" i="2"/>
  <c r="T85" i="2"/>
  <c r="T62" i="2"/>
  <c r="T68" i="2"/>
  <c r="T86" i="2"/>
  <c r="T77" i="2"/>
  <c r="T44" i="2"/>
  <c r="T64" i="2"/>
  <c r="T39" i="2"/>
  <c r="T74" i="2"/>
  <c r="T57" i="2"/>
  <c r="T72" i="2"/>
  <c r="T52" i="2"/>
  <c r="T87" i="2"/>
  <c r="T63" i="2"/>
  <c r="T69" i="2"/>
  <c r="T32" i="2"/>
  <c r="T78" i="2"/>
  <c r="T42" i="2"/>
  <c r="T73" i="2"/>
  <c r="T49" i="2"/>
  <c r="T55" i="2"/>
  <c r="T45" i="2"/>
  <c r="T53" i="2"/>
  <c r="T48" i="2"/>
  <c r="T88" i="2"/>
  <c r="T70" i="2"/>
  <c r="T58" i="2"/>
  <c r="T79" i="2"/>
  <c r="T35" i="2"/>
  <c r="T46" i="2"/>
  <c r="T96" i="2"/>
  <c r="G61" i="2" l="1"/>
  <c r="G59" i="2"/>
  <c r="G66" i="2"/>
  <c r="G60" i="2"/>
  <c r="G65" i="2"/>
  <c r="G67" i="2"/>
  <c r="G63" i="2"/>
  <c r="G64" i="2"/>
  <c r="G58" i="2"/>
  <c r="G62" i="2"/>
  <c r="G57" i="2"/>
  <c r="F60" i="2" l="1"/>
  <c r="J60" i="2" s="1"/>
  <c r="K60" i="2"/>
  <c r="F64" i="2"/>
  <c r="J64" i="2" s="1"/>
  <c r="K64" i="2"/>
  <c r="F66" i="2"/>
  <c r="J66" i="2" s="1"/>
  <c r="K66" i="2"/>
  <c r="K57" i="2"/>
  <c r="F57" i="2"/>
  <c r="J57" i="2" s="1"/>
  <c r="F63" i="2"/>
  <c r="J63" i="2" s="1"/>
  <c r="K63" i="2"/>
  <c r="K62" i="2"/>
  <c r="F62" i="2"/>
  <c r="J62" i="2" s="1"/>
  <c r="F67" i="2"/>
  <c r="J67" i="2" s="1"/>
  <c r="K67" i="2"/>
  <c r="K59" i="2"/>
  <c r="F59" i="2"/>
  <c r="J59" i="2" s="1"/>
  <c r="K58" i="2"/>
  <c r="F58" i="2"/>
  <c r="J58" i="2" s="1"/>
  <c r="K65" i="2"/>
  <c r="F65" i="2"/>
  <c r="J65" i="2" s="1"/>
  <c r="F61" i="2"/>
  <c r="J61" i="2" s="1"/>
  <c r="K61" i="2"/>
  <c r="B70" i="2" l="1"/>
  <c r="B71" i="2"/>
  <c r="B69" i="2"/>
  <c r="B68" i="2"/>
  <c r="E71" i="2" l="1"/>
  <c r="E70" i="2"/>
  <c r="E69" i="2"/>
  <c r="E68" i="2"/>
  <c r="N71" i="2"/>
  <c r="I71" i="2" s="1"/>
  <c r="N68" i="2"/>
  <c r="I68" i="2" s="1"/>
  <c r="N69" i="2"/>
  <c r="I69" i="2" s="1"/>
  <c r="N70" i="2"/>
  <c r="I70" i="2" s="1"/>
  <c r="M71" i="2"/>
  <c r="H71" i="2" s="1"/>
  <c r="M70" i="2"/>
  <c r="H70" i="2" s="1"/>
  <c r="M69" i="2"/>
  <c r="H69" i="2" s="1"/>
  <c r="AG65" i="2" l="1"/>
  <c r="AF82" i="2"/>
  <c r="AF58" i="2"/>
  <c r="AF81" i="2"/>
  <c r="AF45" i="2"/>
  <c r="AF64" i="2"/>
  <c r="AF66" i="2"/>
  <c r="AF51" i="2"/>
  <c r="AF67" i="2"/>
  <c r="AF54" i="2"/>
  <c r="AF57" i="2"/>
  <c r="AF75" i="2"/>
  <c r="AF99" i="2"/>
  <c r="AF76" i="2"/>
  <c r="AF83" i="2"/>
  <c r="AF84" i="2"/>
  <c r="AF98" i="2"/>
  <c r="AF72" i="2"/>
  <c r="AF53" i="2"/>
  <c r="AF85" i="2"/>
  <c r="AF49" i="2"/>
  <c r="AF50" i="2"/>
  <c r="AF89" i="2"/>
  <c r="AF78" i="2"/>
  <c r="AF69" i="2"/>
  <c r="AF44" i="2"/>
  <c r="AF46" i="2"/>
  <c r="AE56" i="2"/>
  <c r="AE92" i="2"/>
  <c r="AE83" i="2"/>
  <c r="AE44" i="2"/>
  <c r="AE73" i="2"/>
  <c r="AE86" i="2"/>
  <c r="AE76" i="2"/>
  <c r="AE54" i="2"/>
  <c r="AE89" i="2"/>
  <c r="AE53" i="2"/>
  <c r="AE91" i="2"/>
  <c r="AE51" i="2"/>
  <c r="AE47" i="2"/>
  <c r="AE90" i="2"/>
  <c r="AE45" i="2"/>
  <c r="AF47" i="2"/>
  <c r="AG91" i="2"/>
  <c r="AG60" i="2"/>
  <c r="AG97" i="2"/>
  <c r="AG61" i="2"/>
  <c r="AG45" i="2"/>
  <c r="AG93" i="2"/>
  <c r="AG59" i="2"/>
  <c r="AG75" i="2"/>
  <c r="AG88" i="2"/>
  <c r="AG99" i="2"/>
  <c r="C71" i="2"/>
  <c r="AG49" i="2"/>
  <c r="AG57" i="2"/>
  <c r="AG82" i="2"/>
  <c r="AG78" i="2"/>
  <c r="AG70" i="2"/>
  <c r="AG96" i="2"/>
  <c r="AG55" i="2"/>
  <c r="AG90" i="2"/>
  <c r="AG68" i="2"/>
  <c r="AG71" i="2"/>
  <c r="AG89" i="2"/>
  <c r="AG46" i="2"/>
  <c r="AG92" i="2"/>
  <c r="AG86" i="2"/>
  <c r="AG64" i="2"/>
  <c r="AG85" i="2"/>
  <c r="AG56" i="2"/>
  <c r="AG66" i="2"/>
  <c r="AG74" i="2"/>
  <c r="AG98" i="2"/>
  <c r="AG84" i="2"/>
  <c r="AG48" i="2"/>
  <c r="AG62" i="2"/>
  <c r="AG95" i="2"/>
  <c r="AG83" i="2"/>
  <c r="AG53" i="2"/>
  <c r="AG50" i="2"/>
  <c r="AG77" i="2"/>
  <c r="AG72" i="2"/>
  <c r="AG67" i="2"/>
  <c r="AG63" i="2"/>
  <c r="AG76" i="2"/>
  <c r="AG54" i="2"/>
  <c r="AG52" i="2"/>
  <c r="AG81" i="2"/>
  <c r="AG47" i="2"/>
  <c r="AG69" i="2"/>
  <c r="AG73" i="2"/>
  <c r="AG79" i="2"/>
  <c r="AG58" i="2"/>
  <c r="AG94" i="2"/>
  <c r="AG80" i="2"/>
  <c r="AG87" i="2"/>
  <c r="AG51" i="2"/>
  <c r="AE46" i="2"/>
  <c r="AE43" i="2"/>
  <c r="AE84" i="2"/>
  <c r="AE60" i="2"/>
  <c r="AE80" i="2"/>
  <c r="AE75" i="2"/>
  <c r="AE61" i="2"/>
  <c r="AE55" i="2"/>
  <c r="AE64" i="2"/>
  <c r="AE65" i="2"/>
  <c r="AE88" i="2"/>
  <c r="AE99" i="2"/>
  <c r="AE81" i="2"/>
  <c r="AE82" i="2"/>
  <c r="AE98" i="2"/>
  <c r="AE48" i="2"/>
  <c r="C69" i="2"/>
  <c r="AE58" i="2"/>
  <c r="AE68" i="2"/>
  <c r="AE87" i="2"/>
  <c r="AE85" i="2"/>
  <c r="AE95" i="2"/>
  <c r="AE63" i="2"/>
  <c r="AE79" i="2"/>
  <c r="AE74" i="2"/>
  <c r="AE78" i="2"/>
  <c r="AE72" i="2"/>
  <c r="AE57" i="2"/>
  <c r="AE67" i="2"/>
  <c r="AE70" i="2"/>
  <c r="AE93" i="2"/>
  <c r="AE59" i="2"/>
  <c r="AE66" i="2"/>
  <c r="AE69" i="2"/>
  <c r="AE52" i="2"/>
  <c r="AE94" i="2"/>
  <c r="AE50" i="2"/>
  <c r="AE97" i="2"/>
  <c r="AE62" i="2"/>
  <c r="AE49" i="2"/>
  <c r="AE96" i="2"/>
  <c r="AE77" i="2"/>
  <c r="AE71" i="2"/>
  <c r="AF62" i="2"/>
  <c r="AF77" i="2"/>
  <c r="AF97" i="2"/>
  <c r="AF96" i="2"/>
  <c r="AF94" i="2"/>
  <c r="AF88" i="2"/>
  <c r="AF56" i="2"/>
  <c r="AF91" i="2"/>
  <c r="AF95" i="2"/>
  <c r="AF79" i="2"/>
  <c r="AF93" i="2"/>
  <c r="AF48" i="2"/>
  <c r="AF74" i="2"/>
  <c r="AF87" i="2"/>
  <c r="AF92" i="2"/>
  <c r="AF63" i="2"/>
  <c r="AF70" i="2"/>
  <c r="AF52" i="2"/>
  <c r="AF55" i="2"/>
  <c r="AF71" i="2"/>
  <c r="AF80" i="2"/>
  <c r="C70" i="2"/>
  <c r="AF65" i="2"/>
  <c r="AF68" i="2"/>
  <c r="AF60" i="2"/>
  <c r="AF73" i="2"/>
  <c r="AF61" i="2"/>
  <c r="AF86" i="2"/>
  <c r="AF59" i="2"/>
  <c r="AF90" i="2"/>
  <c r="M68" i="2"/>
  <c r="H68" i="2" s="1"/>
  <c r="AD97" i="2" l="1"/>
  <c r="AD98" i="2"/>
  <c r="AD88" i="2"/>
  <c r="AD59" i="2"/>
  <c r="AD58" i="2"/>
  <c r="AD54" i="2"/>
  <c r="AD43" i="2"/>
  <c r="AD77" i="2"/>
  <c r="AD96" i="2"/>
  <c r="AD93" i="2"/>
  <c r="AD85" i="2"/>
  <c r="AD72" i="2"/>
  <c r="AD87" i="2"/>
  <c r="AD50" i="2"/>
  <c r="AD83" i="2"/>
  <c r="AD81" i="2"/>
  <c r="AD86" i="2"/>
  <c r="AD80" i="2"/>
  <c r="AD60" i="2"/>
  <c r="AD73" i="2"/>
  <c r="AD70" i="2"/>
  <c r="AD51" i="2"/>
  <c r="AD89" i="2"/>
  <c r="AD52" i="2"/>
  <c r="AD92" i="2"/>
  <c r="AD69" i="2"/>
  <c r="AD78" i="2"/>
  <c r="AD79" i="2"/>
  <c r="AD94" i="2"/>
  <c r="AD56" i="2"/>
  <c r="AD68" i="2"/>
  <c r="AD71" i="2"/>
  <c r="AD74" i="2"/>
  <c r="AD55" i="2"/>
  <c r="AD44" i="2"/>
  <c r="AD61" i="2"/>
  <c r="C68" i="2"/>
  <c r="AD99" i="2"/>
  <c r="AD75" i="2"/>
  <c r="AD53" i="2"/>
  <c r="AD67" i="2"/>
  <c r="AD64" i="2"/>
  <c r="AD76" i="2"/>
  <c r="AD46" i="2"/>
  <c r="AD48" i="2"/>
  <c r="AD62" i="2"/>
  <c r="AD45" i="2"/>
  <c r="AD82" i="2"/>
  <c r="AD91" i="2"/>
  <c r="AD49" i="2"/>
  <c r="AD63" i="2"/>
  <c r="AD95" i="2"/>
  <c r="AD65" i="2"/>
  <c r="AD42" i="2"/>
  <c r="AD47" i="2"/>
  <c r="AD66" i="2"/>
  <c r="AD90" i="2"/>
  <c r="AD57" i="2"/>
  <c r="AD84" i="2"/>
  <c r="G71" i="2" l="1"/>
  <c r="G68" i="2"/>
  <c r="G69" i="2"/>
  <c r="G70" i="2"/>
  <c r="F70" i="2" l="1"/>
  <c r="J70" i="2" s="1"/>
  <c r="K70" i="2"/>
  <c r="K69" i="2"/>
  <c r="F69" i="2"/>
  <c r="J69" i="2" s="1"/>
  <c r="K68" i="2"/>
  <c r="F68" i="2"/>
  <c r="J68" i="2" s="1"/>
  <c r="K71" i="2"/>
  <c r="F71" i="2"/>
  <c r="J71" i="2" s="1"/>
  <c r="N72" i="2" l="1"/>
  <c r="I72" i="2"/>
  <c r="N73" i="2"/>
  <c r="I73" i="2"/>
  <c r="N74" i="2"/>
  <c r="I74" i="2"/>
  <c r="N75" i="2"/>
  <c r="I75" i="2"/>
  <c r="AK59" i="2"/>
  <c r="AK83" i="2"/>
  <c r="O45" i="2"/>
  <c r="O47" i="2"/>
  <c r="AK91" i="2"/>
  <c r="AK85" i="2"/>
  <c r="AK62" i="2"/>
  <c r="O39" i="2"/>
  <c r="O30" i="2"/>
  <c r="AK72" i="2"/>
  <c r="AK71" i="2"/>
  <c r="AK53" i="2"/>
  <c r="O33" i="2"/>
  <c r="O37" i="2"/>
  <c r="AK66" i="2"/>
  <c r="AK49" i="2"/>
  <c r="O44" i="2"/>
  <c r="AK64" i="2"/>
  <c r="O46" i="2"/>
  <c r="C75" i="2"/>
  <c r="AK78" i="2"/>
  <c r="O31" i="2"/>
  <c r="AK88" i="2"/>
  <c r="AK50" i="2"/>
  <c r="AK87" i="2"/>
  <c r="AK77" i="2"/>
  <c r="AK99" i="2"/>
  <c r="AK57" i="2"/>
  <c r="O49" i="2"/>
  <c r="AK69" i="2"/>
  <c r="AK86" i="2"/>
  <c r="AK55" i="2"/>
  <c r="AK65" i="2"/>
  <c r="AK60" i="2"/>
  <c r="AK92" i="2"/>
  <c r="AK81" i="2"/>
  <c r="AK54" i="2"/>
  <c r="AK75" i="2"/>
  <c r="AK94" i="2"/>
  <c r="AK52" i="2"/>
  <c r="AK93" i="2"/>
  <c r="AK67" i="2"/>
  <c r="O43" i="2"/>
  <c r="AK73" i="2"/>
  <c r="AK97" i="2"/>
  <c r="O40" i="2"/>
  <c r="O41" i="2"/>
  <c r="AK74" i="2"/>
  <c r="AK61" i="2"/>
  <c r="AK96" i="2"/>
  <c r="AK80" i="2"/>
  <c r="AK58" i="2"/>
  <c r="AK82" i="2"/>
  <c r="AK95" i="2"/>
  <c r="AK89" i="2"/>
  <c r="AK51" i="2"/>
  <c r="AK70" i="2"/>
  <c r="AK56" i="2"/>
  <c r="AK84" i="2"/>
  <c r="AK63" i="2"/>
  <c r="AK68" i="2"/>
  <c r="O35" i="2"/>
  <c r="AK79" i="2"/>
  <c r="O42" i="2"/>
  <c r="O36" i="2"/>
  <c r="AK98" i="2"/>
  <c r="O38" i="2"/>
  <c r="AK90" i="2"/>
  <c r="AK76" i="2"/>
  <c r="AI73" i="2"/>
  <c r="AI66" i="2"/>
  <c r="AI57" i="2"/>
  <c r="AI93" i="2"/>
  <c r="AI70" i="2"/>
  <c r="AI95" i="2"/>
  <c r="AI56" i="2"/>
  <c r="AI59" i="2"/>
  <c r="AI58" i="2"/>
  <c r="AI91" i="2"/>
  <c r="AI89" i="2"/>
  <c r="AI81" i="2"/>
  <c r="AI63" i="2"/>
  <c r="AI77" i="2"/>
  <c r="AI48" i="2"/>
  <c r="AI78" i="2"/>
  <c r="AI71" i="2"/>
  <c r="AI76" i="2"/>
  <c r="AI47" i="2"/>
  <c r="AI90" i="2"/>
  <c r="AI83" i="2"/>
  <c r="AI85" i="2"/>
  <c r="AI75" i="2"/>
  <c r="AI68" i="2"/>
  <c r="AI80" i="2"/>
  <c r="AI49" i="2"/>
  <c r="AI61" i="2"/>
  <c r="AI96" i="2"/>
  <c r="AI69" i="2"/>
  <c r="AI86" i="2"/>
  <c r="AI84" i="2"/>
  <c r="AI82" i="2"/>
  <c r="AI52" i="2"/>
  <c r="AI88" i="2"/>
  <c r="AI79" i="2"/>
  <c r="AI64" i="2"/>
  <c r="AI74" i="2"/>
  <c r="AI54" i="2"/>
  <c r="AI53" i="2"/>
  <c r="C73" i="2"/>
  <c r="AI50" i="2"/>
  <c r="O34" i="2"/>
  <c r="AI97" i="2"/>
  <c r="AI55" i="2"/>
  <c r="AI98" i="2"/>
  <c r="AI94" i="2"/>
  <c r="AJ62" i="2"/>
  <c r="AJ65" i="2"/>
  <c r="AJ74" i="2"/>
  <c r="AJ72" i="2"/>
  <c r="AJ61" i="2"/>
  <c r="AJ73" i="2"/>
  <c r="AJ48" i="2"/>
  <c r="AJ59" i="2"/>
  <c r="AJ87" i="2"/>
  <c r="AJ57" i="2"/>
  <c r="AJ89" i="2"/>
  <c r="AJ67" i="2"/>
  <c r="C74" i="2"/>
  <c r="AJ81" i="2"/>
  <c r="AJ90" i="2"/>
  <c r="AJ86" i="2"/>
  <c r="AJ78" i="2"/>
  <c r="AJ69" i="2"/>
  <c r="AJ75" i="2"/>
  <c r="AJ80" i="2"/>
  <c r="AJ71" i="2"/>
  <c r="AJ56" i="2"/>
  <c r="AJ77" i="2"/>
  <c r="AJ99" i="2"/>
  <c r="AJ93" i="2"/>
  <c r="AJ76" i="2"/>
  <c r="AJ49" i="2"/>
  <c r="AJ95" i="2"/>
  <c r="AJ91" i="2"/>
  <c r="AJ68" i="2"/>
  <c r="AJ60" i="2"/>
  <c r="AJ53" i="2"/>
  <c r="AJ52" i="2"/>
  <c r="AJ85" i="2"/>
  <c r="AJ63" i="2"/>
  <c r="AJ83" i="2"/>
  <c r="AJ92" i="2"/>
  <c r="AJ54" i="2"/>
  <c r="AJ94" i="2"/>
  <c r="AJ50" i="2"/>
  <c r="AI92" i="2"/>
  <c r="AI62" i="2"/>
  <c r="AJ51" i="2"/>
  <c r="AJ58" i="2"/>
  <c r="AJ79" i="2"/>
  <c r="O32" i="2"/>
  <c r="AI65" i="2"/>
  <c r="AI51" i="2"/>
  <c r="AJ66" i="2"/>
  <c r="AJ96" i="2"/>
  <c r="AJ98" i="2"/>
  <c r="M75" i="2"/>
  <c r="H75" i="2"/>
  <c r="O48" i="2"/>
  <c r="AI60" i="2"/>
  <c r="AI72" i="2"/>
  <c r="AJ70" i="2"/>
  <c r="AJ64" i="2"/>
  <c r="AJ88" i="2"/>
  <c r="AH69" i="2"/>
  <c r="AH59" i="2"/>
  <c r="AH55" i="2"/>
  <c r="AH71" i="2"/>
  <c r="AH51" i="2"/>
  <c r="AH68" i="2"/>
  <c r="AH63" i="2"/>
  <c r="AH48" i="2"/>
  <c r="AH88" i="2"/>
  <c r="AH64" i="2"/>
  <c r="AH92" i="2"/>
  <c r="AH57" i="2"/>
  <c r="AH62" i="2"/>
  <c r="AH70" i="2"/>
  <c r="AH54" i="2"/>
  <c r="AH81" i="2"/>
  <c r="AH98" i="2"/>
  <c r="AH53" i="2"/>
  <c r="AH96" i="2"/>
  <c r="AH84" i="2"/>
  <c r="AH49" i="2"/>
  <c r="AH93" i="2"/>
  <c r="AH60" i="2"/>
  <c r="AH50" i="2"/>
  <c r="AH72" i="2"/>
  <c r="AH52" i="2"/>
  <c r="AH94" i="2"/>
  <c r="AH78" i="2"/>
  <c r="AH76" i="2"/>
  <c r="AH67" i="2"/>
  <c r="AH46" i="2"/>
  <c r="AH87" i="2"/>
  <c r="AH74" i="2"/>
  <c r="AH65" i="2"/>
  <c r="AH91" i="2"/>
  <c r="AH75" i="2"/>
  <c r="AH99" i="2"/>
  <c r="AH89" i="2"/>
  <c r="AH80" i="2"/>
  <c r="AH73" i="2"/>
  <c r="AH86" i="2"/>
  <c r="AH90" i="2"/>
  <c r="AH56" i="2"/>
  <c r="AH61" i="2"/>
  <c r="C72" i="2"/>
  <c r="AH79" i="2"/>
  <c r="AH47" i="2"/>
  <c r="AH77" i="2"/>
  <c r="AH95" i="2"/>
  <c r="AH85" i="2"/>
  <c r="AH58" i="2"/>
  <c r="AH66" i="2"/>
  <c r="AH97" i="2"/>
  <c r="AI87" i="2"/>
  <c r="M73" i="2"/>
  <c r="H73" i="2"/>
  <c r="AI67" i="2"/>
  <c r="AJ55" i="2"/>
  <c r="AJ84" i="2"/>
  <c r="AJ97" i="2"/>
  <c r="AH83" i="2"/>
  <c r="M74" i="2"/>
  <c r="H74" i="2"/>
  <c r="AJ82" i="2"/>
  <c r="M72" i="2"/>
  <c r="H72" i="2"/>
  <c r="AH82" i="2"/>
  <c r="K73" i="2"/>
  <c r="G73" i="2"/>
  <c r="J73" i="2"/>
  <c r="F73" i="2"/>
  <c r="E73" i="2"/>
  <c r="J75" i="2"/>
  <c r="F75" i="2"/>
  <c r="E75" i="2"/>
  <c r="K72" i="2"/>
  <c r="G72" i="2"/>
  <c r="G75" i="2"/>
  <c r="K75" i="2"/>
  <c r="B75" i="2"/>
  <c r="B74" i="2"/>
  <c r="E72" i="2"/>
  <c r="F72" i="2"/>
  <c r="J72" i="2"/>
  <c r="E74" i="2"/>
  <c r="F74" i="2"/>
  <c r="J74" i="2"/>
  <c r="B73" i="2"/>
  <c r="B72" i="2"/>
  <c r="G74" i="2"/>
  <c r="K74" i="2"/>
</calcChain>
</file>

<file path=xl/sharedStrings.xml><?xml version="1.0" encoding="utf-8"?>
<sst xmlns="http://schemas.openxmlformats.org/spreadsheetml/2006/main" count="223" uniqueCount="67">
  <si>
    <t>Week</t>
  </si>
  <si>
    <t>Hard &amp; Major</t>
  </si>
  <si>
    <t>Hard &amp; Minor</t>
  </si>
  <si>
    <t>Easy &amp; Major</t>
  </si>
  <si>
    <t>Easy &amp; Minor</t>
  </si>
  <si>
    <t>Category</t>
  </si>
  <si>
    <t>Hours to fix</t>
  </si>
  <si>
    <t>Static</t>
  </si>
  <si>
    <t>Cumul</t>
  </si>
  <si>
    <t>Fixed</t>
  </si>
  <si>
    <t>Remain</t>
  </si>
  <si>
    <t>TIFD</t>
  </si>
  <si>
    <t>Ratio DF:DF</t>
  </si>
  <si>
    <t>This week</t>
  </si>
  <si>
    <t xml:space="preserve"> Found</t>
  </si>
  <si>
    <t xml:space="preserve"> Fixed</t>
  </si>
  <si>
    <t>Hours remaining</t>
  </si>
  <si>
    <t>Exponential fit</t>
  </si>
  <si>
    <t>Coeff c</t>
  </si>
  <si>
    <t>Coeff b</t>
  </si>
  <si>
    <t>SS Total</t>
  </si>
  <si>
    <t>SS Regression</t>
  </si>
  <si>
    <t>SS Residual</t>
  </si>
  <si>
    <t>R Squared</t>
  </si>
  <si>
    <t>StDev(residuals)</t>
  </si>
  <si>
    <t>Exp</t>
  </si>
  <si>
    <t>Found</t>
  </si>
  <si>
    <t>Bugs Remaining</t>
  </si>
  <si>
    <t>3 wk mov</t>
  </si>
  <si>
    <t xml:space="preserve">avg mj queue time </t>
  </si>
  <si>
    <t>Raw</t>
  </si>
  <si>
    <t>Priority</t>
  </si>
  <si>
    <t>Excel computed coeffs</t>
  </si>
  <si>
    <t>priority</t>
  </si>
  <si>
    <t>hours to complete</t>
  </si>
  <si>
    <t>hard &amp; major</t>
  </si>
  <si>
    <t>hard &amp; minor</t>
  </si>
  <si>
    <t>easy &amp; major</t>
  </si>
  <si>
    <t>easy &amp; minor</t>
  </si>
  <si>
    <t>week</t>
  </si>
  <si>
    <t>repairers</t>
  </si>
  <si>
    <t>finders</t>
  </si>
  <si>
    <t xml:space="preserve">Random </t>
  </si>
  <si>
    <t>First In, First Out</t>
  </si>
  <si>
    <t>Major-Minor, Easy-Hard</t>
  </si>
  <si>
    <t xml:space="preserve">First In, First Out </t>
  </si>
  <si>
    <t>Scenario specifics pasted from python script</t>
  </si>
  <si>
    <t>Metrics</t>
  </si>
  <si>
    <t xml:space="preserve">Avg mj queue time </t>
  </si>
  <si>
    <t>scenario B</t>
  </si>
  <si>
    <t>scenario c</t>
  </si>
  <si>
    <t>scenario d</t>
  </si>
  <si>
    <t>scenario A</t>
  </si>
  <si>
    <t xml:space="preserve">Ratio </t>
  </si>
  <si>
    <t>Avg que</t>
  </si>
  <si>
    <t>total importance</t>
  </si>
  <si>
    <t>Impact</t>
  </si>
  <si>
    <t>Version A</t>
  </si>
  <si>
    <t>Version B</t>
  </si>
  <si>
    <t>Version D</t>
  </si>
  <si>
    <t>Version C</t>
  </si>
  <si>
    <t>CITS5502 2019 Assignment 2 – Defect detection table</t>
  </si>
  <si>
    <t>Total</t>
  </si>
  <si>
    <t>Hours to Fix</t>
  </si>
  <si>
    <t>Total Work</t>
  </si>
  <si>
    <t>exponentials</t>
  </si>
  <si>
    <t>total defect expon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</si>
</sst>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TRUE&quot;;&quot;TRUE&quot;;&quot;FALSE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Arial"/>
      <family val="2"/>
    </font>
    <font>
      <b/>
      <sz val="11"/>
      <color indexed="8"/>
      <name val="Calibri"/>
      <family val="2"/>
      <charset val="1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31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</borders>
  <cellStyleXfs count="1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0" xfId="0" applyBorder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0" borderId="5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6" xfId="0" applyFont="1" applyBorder="1"/>
    <xf numFmtId="0" fontId="0" fillId="2" borderId="3" xfId="0" applyFill="1" applyBorder="1"/>
    <xf numFmtId="0" fontId="0" fillId="2" borderId="4" xfId="0" applyFill="1" applyBorder="1"/>
    <xf numFmtId="0" fontId="0" fillId="0" borderId="0" xfId="0" applyNumberFormat="1" applyBorder="1"/>
    <xf numFmtId="0" fontId="0" fillId="0" borderId="8" xfId="0" applyNumberFormat="1" applyBorder="1"/>
    <xf numFmtId="0" fontId="4" fillId="0" borderId="5" xfId="0" applyFont="1" applyBorder="1"/>
    <xf numFmtId="0" fontId="1" fillId="2" borderId="10" xfId="0" applyFont="1" applyFill="1" applyBorder="1"/>
    <xf numFmtId="0" fontId="0" fillId="2" borderId="11" xfId="0" applyFill="1" applyBorder="1"/>
    <xf numFmtId="0" fontId="5" fillId="0" borderId="0" xfId="0" applyFont="1"/>
    <xf numFmtId="0" fontId="0" fillId="0" borderId="0" xfId="0" applyFill="1" applyBorder="1"/>
    <xf numFmtId="0" fontId="0" fillId="2" borderId="2" xfId="0" applyFill="1" applyBorder="1"/>
    <xf numFmtId="0" fontId="0" fillId="2" borderId="5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4" borderId="0" xfId="0" applyFill="1"/>
    <xf numFmtId="0" fontId="6" fillId="0" borderId="0" xfId="0" applyFont="1"/>
    <xf numFmtId="0" fontId="7" fillId="5" borderId="16" xfId="0" applyFont="1" applyFill="1" applyBorder="1" applyAlignment="1">
      <alignment horizontal="right"/>
    </xf>
    <xf numFmtId="0" fontId="7" fillId="5" borderId="17" xfId="0" applyFont="1" applyFill="1" applyBorder="1" applyAlignment="1">
      <alignment horizontal="right"/>
    </xf>
    <xf numFmtId="0" fontId="7" fillId="5" borderId="18" xfId="0" applyFont="1" applyFill="1" applyBorder="1" applyAlignment="1">
      <alignment horizontal="right"/>
    </xf>
    <xf numFmtId="0" fontId="8" fillId="0" borderId="19" xfId="0" applyFont="1" applyBorder="1"/>
    <xf numFmtId="0" fontId="0" fillId="0" borderId="19" xfId="0" applyBorder="1"/>
    <xf numFmtId="0" fontId="0" fillId="0" borderId="20" xfId="0" applyBorder="1"/>
    <xf numFmtId="164" fontId="0" fillId="0" borderId="0" xfId="0" applyNumberFormat="1"/>
    <xf numFmtId="0" fontId="0" fillId="0" borderId="21" xfId="0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" borderId="12" xfId="0" applyFill="1" applyBorder="1"/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</cellXfs>
  <cellStyles count="1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Linear regression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[1]Sheet1!$K$3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4166195828574862"/>
                  <c:y val="-0.81032407407407403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[1]Sheet1!$J$4:$J$23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[1]Sheet1!$K$4:$K$23</c:f>
              <c:numCache>
                <c:formatCode>General</c:formatCode>
                <c:ptCount val="20"/>
                <c:pt idx="0">
                  <c:v>48</c:v>
                </c:pt>
                <c:pt idx="1">
                  <c:v>42</c:v>
                </c:pt>
                <c:pt idx="2">
                  <c:v>32</c:v>
                </c:pt>
                <c:pt idx="3">
                  <c:v>27</c:v>
                </c:pt>
                <c:pt idx="4">
                  <c:v>23</c:v>
                </c:pt>
                <c:pt idx="5">
                  <c:v>23</c:v>
                </c:pt>
                <c:pt idx="6">
                  <c:v>19</c:v>
                </c:pt>
                <c:pt idx="7">
                  <c:v>16</c:v>
                </c:pt>
                <c:pt idx="8">
                  <c:v>13</c:v>
                </c:pt>
                <c:pt idx="9">
                  <c:v>10</c:v>
                </c:pt>
                <c:pt idx="10">
                  <c:v>8</c:v>
                </c:pt>
                <c:pt idx="11">
                  <c:v>9</c:v>
                </c:pt>
                <c:pt idx="12">
                  <c:v>7</c:v>
                </c:pt>
                <c:pt idx="13">
                  <c:v>7</c:v>
                </c:pt>
                <c:pt idx="14">
                  <c:v>3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F9-E14D-BCED-78F382438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42159"/>
        <c:axId val="1"/>
      </c:scatterChart>
      <c:valAx>
        <c:axId val="15938421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84215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Exponential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[1]Sheet1!$K$3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>
                <c:manualLayout>
                  <c:x val="0.1192755905511811"/>
                  <c:y val="-0.7445913531641877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[1]Sheet1!$J$4:$J$23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[1]Sheet1!$K$4:$K$23</c:f>
              <c:numCache>
                <c:formatCode>General</c:formatCode>
                <c:ptCount val="20"/>
                <c:pt idx="0">
                  <c:v>48</c:v>
                </c:pt>
                <c:pt idx="1">
                  <c:v>42</c:v>
                </c:pt>
                <c:pt idx="2">
                  <c:v>32</c:v>
                </c:pt>
                <c:pt idx="3">
                  <c:v>27</c:v>
                </c:pt>
                <c:pt idx="4">
                  <c:v>23</c:v>
                </c:pt>
                <c:pt idx="5">
                  <c:v>23</c:v>
                </c:pt>
                <c:pt idx="6">
                  <c:v>19</c:v>
                </c:pt>
                <c:pt idx="7">
                  <c:v>16</c:v>
                </c:pt>
                <c:pt idx="8">
                  <c:v>13</c:v>
                </c:pt>
                <c:pt idx="9">
                  <c:v>10</c:v>
                </c:pt>
                <c:pt idx="10">
                  <c:v>8</c:v>
                </c:pt>
                <c:pt idx="11">
                  <c:v>9</c:v>
                </c:pt>
                <c:pt idx="12">
                  <c:v>7</c:v>
                </c:pt>
                <c:pt idx="13">
                  <c:v>7</c:v>
                </c:pt>
                <c:pt idx="14">
                  <c:v>3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5E-344A-A412-841E51E1D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977839"/>
        <c:axId val="1"/>
      </c:scatterChart>
      <c:valAx>
        <c:axId val="159397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97783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Polynomial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[1]Sheet1!$K$3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726227034120735"/>
                  <c:y val="-0.73996172353455814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[1]Sheet1!$J$4:$J$23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[1]Sheet1!$K$4:$K$23</c:f>
              <c:numCache>
                <c:formatCode>General</c:formatCode>
                <c:ptCount val="20"/>
                <c:pt idx="0">
                  <c:v>48</c:v>
                </c:pt>
                <c:pt idx="1">
                  <c:v>42</c:v>
                </c:pt>
                <c:pt idx="2">
                  <c:v>32</c:v>
                </c:pt>
                <c:pt idx="3">
                  <c:v>27</c:v>
                </c:pt>
                <c:pt idx="4">
                  <c:v>23</c:v>
                </c:pt>
                <c:pt idx="5">
                  <c:v>23</c:v>
                </c:pt>
                <c:pt idx="6">
                  <c:v>19</c:v>
                </c:pt>
                <c:pt idx="7">
                  <c:v>16</c:v>
                </c:pt>
                <c:pt idx="8">
                  <c:v>13</c:v>
                </c:pt>
                <c:pt idx="9">
                  <c:v>10</c:v>
                </c:pt>
                <c:pt idx="10">
                  <c:v>8</c:v>
                </c:pt>
                <c:pt idx="11">
                  <c:v>9</c:v>
                </c:pt>
                <c:pt idx="12">
                  <c:v>7</c:v>
                </c:pt>
                <c:pt idx="13">
                  <c:v>7</c:v>
                </c:pt>
                <c:pt idx="14">
                  <c:v>3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99-C249-9971-5921A35EF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014255"/>
        <c:axId val="1"/>
      </c:scatterChart>
      <c:valAx>
        <c:axId val="1594014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01425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Logarithmic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[1]Sheet1!$K$3</c:f>
              <c:strCache>
                <c:ptCount val="1"/>
                <c:pt idx="0">
                  <c:v>Total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0.11199781277340333"/>
                  <c:y val="-0.73996172353455814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[1]Sheet1!$J$4:$J$23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[1]Sheet1!$K$4:$K$23</c:f>
              <c:numCache>
                <c:formatCode>General</c:formatCode>
                <c:ptCount val="20"/>
                <c:pt idx="0">
                  <c:v>48</c:v>
                </c:pt>
                <c:pt idx="1">
                  <c:v>42</c:v>
                </c:pt>
                <c:pt idx="2">
                  <c:v>32</c:v>
                </c:pt>
                <c:pt idx="3">
                  <c:v>27</c:v>
                </c:pt>
                <c:pt idx="4">
                  <c:v>23</c:v>
                </c:pt>
                <c:pt idx="5">
                  <c:v>23</c:v>
                </c:pt>
                <c:pt idx="6">
                  <c:v>19</c:v>
                </c:pt>
                <c:pt idx="7">
                  <c:v>16</c:v>
                </c:pt>
                <c:pt idx="8">
                  <c:v>13</c:v>
                </c:pt>
                <c:pt idx="9">
                  <c:v>10</c:v>
                </c:pt>
                <c:pt idx="10">
                  <c:v>8</c:v>
                </c:pt>
                <c:pt idx="11">
                  <c:v>9</c:v>
                </c:pt>
                <c:pt idx="12">
                  <c:v>7</c:v>
                </c:pt>
                <c:pt idx="13">
                  <c:v>7</c:v>
                </c:pt>
                <c:pt idx="14">
                  <c:v>3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A7-214D-BE29-1B69E3F7B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036895"/>
        <c:axId val="1"/>
      </c:scatterChart>
      <c:valAx>
        <c:axId val="159403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036895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'DF DF'!$B$25</c:f>
              <c:strCache>
                <c:ptCount val="1"/>
                <c:pt idx="0">
                  <c:v>Random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'DF DF'!$B$26:$B$45</c:f>
              <c:numCache>
                <c:formatCode>General</c:formatCode>
                <c:ptCount val="20"/>
                <c:pt idx="0">
                  <c:v>3.2666666666666666</c:v>
                </c:pt>
                <c:pt idx="1">
                  <c:v>2.8666666666666667</c:v>
                </c:pt>
                <c:pt idx="2">
                  <c:v>2.2000000000000002</c:v>
                </c:pt>
                <c:pt idx="3">
                  <c:v>2</c:v>
                </c:pt>
                <c:pt idx="4">
                  <c:v>1.7142857142857142</c:v>
                </c:pt>
                <c:pt idx="5">
                  <c:v>1.6</c:v>
                </c:pt>
                <c:pt idx="6">
                  <c:v>1.3333333333333333</c:v>
                </c:pt>
                <c:pt idx="7">
                  <c:v>1.2142857142857142</c:v>
                </c:pt>
                <c:pt idx="8">
                  <c:v>1</c:v>
                </c:pt>
                <c:pt idx="9">
                  <c:v>0.73333333333333328</c:v>
                </c:pt>
                <c:pt idx="10">
                  <c:v>0.6</c:v>
                </c:pt>
                <c:pt idx="11">
                  <c:v>0.4</c:v>
                </c:pt>
                <c:pt idx="12">
                  <c:v>0.38095238095238093</c:v>
                </c:pt>
                <c:pt idx="13">
                  <c:v>0.42857142857142855</c:v>
                </c:pt>
                <c:pt idx="14">
                  <c:v>0.17391304347826086</c:v>
                </c:pt>
                <c:pt idx="15">
                  <c:v>0.11538461538461539</c:v>
                </c:pt>
                <c:pt idx="16">
                  <c:v>0.25</c:v>
                </c:pt>
                <c:pt idx="17">
                  <c:v>0.15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C-6246-A955-0C778468D13A}"/>
            </c:ext>
          </c:extLst>
        </c:ser>
        <c:ser>
          <c:idx val="1"/>
          <c:order val="1"/>
          <c:tx>
            <c:strRef>
              <c:f>'DF DF'!$C$25</c:f>
              <c:strCache>
                <c:ptCount val="1"/>
                <c:pt idx="0">
                  <c:v>Major-Minor, Easy-Hard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'DF DF'!$C$26:$C$45</c:f>
              <c:numCache>
                <c:formatCode>General</c:formatCode>
                <c:ptCount val="20"/>
                <c:pt idx="0">
                  <c:v>7</c:v>
                </c:pt>
                <c:pt idx="1">
                  <c:v>5.384615384615385</c:v>
                </c:pt>
                <c:pt idx="2">
                  <c:v>3.9230769230769229</c:v>
                </c:pt>
                <c:pt idx="3">
                  <c:v>4.4444444444444446</c:v>
                </c:pt>
                <c:pt idx="4">
                  <c:v>1.2142857142857142</c:v>
                </c:pt>
                <c:pt idx="5">
                  <c:v>0.7857142857142857</c:v>
                </c:pt>
                <c:pt idx="6">
                  <c:v>0.75</c:v>
                </c:pt>
                <c:pt idx="7">
                  <c:v>0.5714285714285714</c:v>
                </c:pt>
                <c:pt idx="8">
                  <c:v>0.66666666666666663</c:v>
                </c:pt>
                <c:pt idx="9">
                  <c:v>0.6428571428571429</c:v>
                </c:pt>
                <c:pt idx="10">
                  <c:v>0.22222222222222221</c:v>
                </c:pt>
                <c:pt idx="11">
                  <c:v>0.11538461538461539</c:v>
                </c:pt>
                <c:pt idx="12">
                  <c:v>0.21739130434782608</c:v>
                </c:pt>
                <c:pt idx="13">
                  <c:v>0.11538461538461539</c:v>
                </c:pt>
                <c:pt idx="14">
                  <c:v>0.20833333333333334</c:v>
                </c:pt>
                <c:pt idx="15">
                  <c:v>7.6923076923076927E-2</c:v>
                </c:pt>
                <c:pt idx="16">
                  <c:v>4.3478260869565216E-2</c:v>
                </c:pt>
                <c:pt idx="17">
                  <c:v>6.25E-2</c:v>
                </c:pt>
                <c:pt idx="18">
                  <c:v>6.25E-2</c:v>
                </c:pt>
                <c:pt idx="19">
                  <c:v>7.1428571428571425E-2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6C-6246-A955-0C778468D13A}"/>
            </c:ext>
          </c:extLst>
        </c:ser>
        <c:ser>
          <c:idx val="2"/>
          <c:order val="2"/>
          <c:tx>
            <c:strRef>
              <c:f>'DF DF'!$D$25</c:f>
              <c:strCache>
                <c:ptCount val="1"/>
                <c:pt idx="0">
                  <c:v>First In, First Out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'DF DF'!$D$26:$D$45</c:f>
              <c:numCache>
                <c:formatCode>General</c:formatCode>
                <c:ptCount val="20"/>
                <c:pt idx="0">
                  <c:v>2.8823529411764706</c:v>
                </c:pt>
                <c:pt idx="1">
                  <c:v>2.15</c:v>
                </c:pt>
                <c:pt idx="2">
                  <c:v>1.8333333333333333</c:v>
                </c:pt>
                <c:pt idx="3">
                  <c:v>1.8666666666666667</c:v>
                </c:pt>
                <c:pt idx="4">
                  <c:v>1.2</c:v>
                </c:pt>
                <c:pt idx="5">
                  <c:v>1.7142857142857142</c:v>
                </c:pt>
                <c:pt idx="6">
                  <c:v>1</c:v>
                </c:pt>
                <c:pt idx="7">
                  <c:v>1</c:v>
                </c:pt>
                <c:pt idx="8">
                  <c:v>0.93333333333333335</c:v>
                </c:pt>
                <c:pt idx="9">
                  <c:v>0.61111111111111116</c:v>
                </c:pt>
                <c:pt idx="10">
                  <c:v>0.6428571428571429</c:v>
                </c:pt>
                <c:pt idx="11">
                  <c:v>0.38095238095238093</c:v>
                </c:pt>
                <c:pt idx="12">
                  <c:v>0.38095238095238093</c:v>
                </c:pt>
                <c:pt idx="13">
                  <c:v>0.5</c:v>
                </c:pt>
                <c:pt idx="14">
                  <c:v>0.2</c:v>
                </c:pt>
                <c:pt idx="15">
                  <c:v>0.17647058823529413</c:v>
                </c:pt>
                <c:pt idx="16">
                  <c:v>0.29411764705882354</c:v>
                </c:pt>
                <c:pt idx="17">
                  <c:v>0.3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6C-6246-A955-0C778468D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1863712"/>
        <c:axId val="912026160"/>
      </c:lineChart>
      <c:catAx>
        <c:axId val="91186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i="1"/>
                  <a:t>t</a:t>
                </a:r>
                <a:r>
                  <a:rPr lang="en-GB" i="1" baseline="0"/>
                  <a:t> </a:t>
                </a:r>
                <a:r>
                  <a:rPr lang="en-GB" baseline="0"/>
                  <a:t>(weeks)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026160"/>
        <c:crosses val="autoZero"/>
        <c:auto val="1"/>
        <c:lblAlgn val="ctr"/>
        <c:lblOffset val="100"/>
        <c:noMultiLvlLbl val="0"/>
      </c:catAx>
      <c:valAx>
        <c:axId val="91202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Ratio</a:t>
                </a:r>
                <a:r>
                  <a:rPr lang="en-GB" baseline="0"/>
                  <a:t> of defects fixed to defects found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2222222222222223E-2"/>
              <c:y val="3.70370370370370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86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'total importance'!$B$25</c:f>
              <c:strCache>
                <c:ptCount val="1"/>
                <c:pt idx="0">
                  <c:v>Random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'total importance'!$B$26:$B$45</c:f>
              <c:numCache>
                <c:formatCode>General</c:formatCode>
                <c:ptCount val="20"/>
                <c:pt idx="0">
                  <c:v>106</c:v>
                </c:pt>
                <c:pt idx="1">
                  <c:v>176</c:v>
                </c:pt>
                <c:pt idx="2">
                  <c:v>200</c:v>
                </c:pt>
                <c:pt idx="3">
                  <c:v>238</c:v>
                </c:pt>
                <c:pt idx="4">
                  <c:v>230</c:v>
                </c:pt>
                <c:pt idx="5">
                  <c:v>227</c:v>
                </c:pt>
                <c:pt idx="6">
                  <c:v>196</c:v>
                </c:pt>
                <c:pt idx="7">
                  <c:v>181</c:v>
                </c:pt>
                <c:pt idx="8">
                  <c:v>157</c:v>
                </c:pt>
                <c:pt idx="9">
                  <c:v>147</c:v>
                </c:pt>
                <c:pt idx="10">
                  <c:v>123</c:v>
                </c:pt>
                <c:pt idx="11">
                  <c:v>99</c:v>
                </c:pt>
                <c:pt idx="12">
                  <c:v>86</c:v>
                </c:pt>
                <c:pt idx="13">
                  <c:v>74</c:v>
                </c:pt>
                <c:pt idx="14">
                  <c:v>55</c:v>
                </c:pt>
                <c:pt idx="15">
                  <c:v>32</c:v>
                </c:pt>
                <c:pt idx="16">
                  <c:v>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7-574F-9FB4-C3B524BE35C2}"/>
            </c:ext>
          </c:extLst>
        </c:ser>
        <c:ser>
          <c:idx val="1"/>
          <c:order val="1"/>
          <c:tx>
            <c:strRef>
              <c:f>'total importance'!$C$25</c:f>
              <c:strCache>
                <c:ptCount val="1"/>
                <c:pt idx="0">
                  <c:v>First In, First Out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'total importance'!$C$26:$C$45</c:f>
              <c:numCache>
                <c:formatCode>General</c:formatCode>
                <c:ptCount val="20"/>
                <c:pt idx="0">
                  <c:v>56</c:v>
                </c:pt>
                <c:pt idx="1">
                  <c:v>133</c:v>
                </c:pt>
                <c:pt idx="2">
                  <c:v>190</c:v>
                </c:pt>
                <c:pt idx="3">
                  <c:v>239</c:v>
                </c:pt>
                <c:pt idx="4">
                  <c:v>261</c:v>
                </c:pt>
                <c:pt idx="5">
                  <c:v>259</c:v>
                </c:pt>
                <c:pt idx="6">
                  <c:v>247</c:v>
                </c:pt>
                <c:pt idx="7">
                  <c:v>229</c:v>
                </c:pt>
                <c:pt idx="8">
                  <c:v>198</c:v>
                </c:pt>
                <c:pt idx="9">
                  <c:v>191</c:v>
                </c:pt>
                <c:pt idx="10">
                  <c:v>174</c:v>
                </c:pt>
                <c:pt idx="11">
                  <c:v>185</c:v>
                </c:pt>
                <c:pt idx="12">
                  <c:v>172</c:v>
                </c:pt>
                <c:pt idx="13">
                  <c:v>163</c:v>
                </c:pt>
                <c:pt idx="14">
                  <c:v>129</c:v>
                </c:pt>
                <c:pt idx="15">
                  <c:v>79</c:v>
                </c:pt>
                <c:pt idx="16">
                  <c:v>25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7-574F-9FB4-C3B524BE35C2}"/>
            </c:ext>
          </c:extLst>
        </c:ser>
        <c:ser>
          <c:idx val="2"/>
          <c:order val="2"/>
          <c:tx>
            <c:strRef>
              <c:f>'total importance'!$D$25</c:f>
              <c:strCache>
                <c:ptCount val="1"/>
                <c:pt idx="0">
                  <c:v>Major-Minor, Easy-Hard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'total importance'!$D$26:$D$45</c:f>
              <c:numCache>
                <c:formatCode>General</c:formatCode>
                <c:ptCount val="20"/>
                <c:pt idx="0">
                  <c:v>192</c:v>
                </c:pt>
                <c:pt idx="1">
                  <c:v>345</c:v>
                </c:pt>
                <c:pt idx="2">
                  <c:v>425</c:v>
                </c:pt>
                <c:pt idx="3">
                  <c:v>468</c:v>
                </c:pt>
                <c:pt idx="4">
                  <c:v>441</c:v>
                </c:pt>
                <c:pt idx="5">
                  <c:v>390</c:v>
                </c:pt>
                <c:pt idx="6">
                  <c:v>339</c:v>
                </c:pt>
                <c:pt idx="7">
                  <c:v>297</c:v>
                </c:pt>
                <c:pt idx="8">
                  <c:v>251</c:v>
                </c:pt>
                <c:pt idx="9">
                  <c:v>210</c:v>
                </c:pt>
                <c:pt idx="10">
                  <c:v>172</c:v>
                </c:pt>
                <c:pt idx="11">
                  <c:v>149</c:v>
                </c:pt>
                <c:pt idx="12">
                  <c:v>131</c:v>
                </c:pt>
                <c:pt idx="13">
                  <c:v>108</c:v>
                </c:pt>
                <c:pt idx="14">
                  <c:v>89</c:v>
                </c:pt>
                <c:pt idx="15">
                  <c:v>65</c:v>
                </c:pt>
                <c:pt idx="16">
                  <c:v>43</c:v>
                </c:pt>
                <c:pt idx="17">
                  <c:v>28</c:v>
                </c:pt>
                <c:pt idx="18">
                  <c:v>13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B7-574F-9FB4-C3B524BE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2327760"/>
        <c:axId val="941780208"/>
      </c:lineChart>
      <c:catAx>
        <c:axId val="94232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1" baseline="0">
                    <a:effectLst/>
                  </a:rPr>
                  <a:t>t </a:t>
                </a:r>
                <a:r>
                  <a:rPr lang="en-GB" sz="1000" b="0" i="0" baseline="0">
                    <a:effectLst/>
                  </a:rPr>
                  <a:t>(weeks)</a:t>
                </a:r>
                <a:endParaRPr lang="en-AU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780208"/>
        <c:crosses val="autoZero"/>
        <c:auto val="1"/>
        <c:lblAlgn val="ctr"/>
        <c:lblOffset val="100"/>
        <c:noMultiLvlLbl val="0"/>
      </c:catAx>
      <c:valAx>
        <c:axId val="9417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importance of found defects still to be fixed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3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'avg time que'!$B$25</c:f>
              <c:strCache>
                <c:ptCount val="1"/>
                <c:pt idx="0">
                  <c:v>Random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'avg time que'!$B$26:$B$45</c:f>
              <c:numCache>
                <c:formatCode>General</c:formatCode>
                <c:ptCount val="20"/>
                <c:pt idx="0">
                  <c:v>2.9672131147540988</c:v>
                </c:pt>
                <c:pt idx="1">
                  <c:v>3.7142857142857144</c:v>
                </c:pt>
                <c:pt idx="2">
                  <c:v>2.8181818181818183</c:v>
                </c:pt>
                <c:pt idx="3">
                  <c:v>3</c:v>
                </c:pt>
                <c:pt idx="4">
                  <c:v>3.625</c:v>
                </c:pt>
                <c:pt idx="5">
                  <c:v>3.7142857142857144</c:v>
                </c:pt>
                <c:pt idx="6">
                  <c:v>2.4444444444444446</c:v>
                </c:pt>
                <c:pt idx="7">
                  <c:v>2</c:v>
                </c:pt>
                <c:pt idx="8">
                  <c:v>1.8571428571428572</c:v>
                </c:pt>
                <c:pt idx="9">
                  <c:v>2</c:v>
                </c:pt>
                <c:pt idx="10">
                  <c:v>1.3333333333333333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C-AC43-B103-4FC0489A6A85}"/>
            </c:ext>
          </c:extLst>
        </c:ser>
        <c:ser>
          <c:idx val="1"/>
          <c:order val="1"/>
          <c:tx>
            <c:strRef>
              <c:f>'avg time que'!$C$25</c:f>
              <c:strCache>
                <c:ptCount val="1"/>
                <c:pt idx="0">
                  <c:v>Major-Minor, Easy-Hard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'avg time que'!$C$26:$C$45</c:f>
              <c:numCache>
                <c:formatCode>General</c:formatCode>
                <c:ptCount val="20"/>
                <c:pt idx="0">
                  <c:v>2.5702479338842976</c:v>
                </c:pt>
                <c:pt idx="1">
                  <c:v>3.6923076923076925</c:v>
                </c:pt>
                <c:pt idx="2">
                  <c:v>4.2307692307692308</c:v>
                </c:pt>
                <c:pt idx="3">
                  <c:v>5.8888888888888893</c:v>
                </c:pt>
                <c:pt idx="4">
                  <c:v>4.25</c:v>
                </c:pt>
                <c:pt idx="5">
                  <c:v>3.5833333333333335</c:v>
                </c:pt>
                <c:pt idx="6">
                  <c:v>3.0909090909090908</c:v>
                </c:pt>
                <c:pt idx="7">
                  <c:v>2.4166666666666665</c:v>
                </c:pt>
                <c:pt idx="8">
                  <c:v>1.8333333333333333</c:v>
                </c:pt>
                <c:pt idx="9">
                  <c:v>1.3333333333333333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C-AC43-B103-4FC0489A6A85}"/>
            </c:ext>
          </c:extLst>
        </c:ser>
        <c:ser>
          <c:idx val="2"/>
          <c:order val="2"/>
          <c:tx>
            <c:strRef>
              <c:f>'avg time que'!$D$25</c:f>
              <c:strCache>
                <c:ptCount val="1"/>
                <c:pt idx="0">
                  <c:v>First In, First Out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'avg time que'!$D$26:$D$45</c:f>
              <c:numCache>
                <c:formatCode>General</c:formatCode>
                <c:ptCount val="20"/>
                <c:pt idx="0">
                  <c:v>1.2836879432624115</c:v>
                </c:pt>
                <c:pt idx="1">
                  <c:v>3.6</c:v>
                </c:pt>
                <c:pt idx="2">
                  <c:v>5</c:v>
                </c:pt>
                <c:pt idx="3">
                  <c:v>3.6</c:v>
                </c:pt>
                <c:pt idx="4">
                  <c:v>15.5</c:v>
                </c:pt>
                <c:pt idx="5">
                  <c:v>4.8571428571428568</c:v>
                </c:pt>
                <c:pt idx="6">
                  <c:v>6</c:v>
                </c:pt>
                <c:pt idx="7">
                  <c:v>3.2</c:v>
                </c:pt>
                <c:pt idx="8">
                  <c:v>3.125</c:v>
                </c:pt>
                <c:pt idx="9">
                  <c:v>5.25</c:v>
                </c:pt>
                <c:pt idx="10">
                  <c:v>4</c:v>
                </c:pt>
                <c:pt idx="11">
                  <c:v>10.5</c:v>
                </c:pt>
                <c:pt idx="12">
                  <c:v>4.8</c:v>
                </c:pt>
                <c:pt idx="13">
                  <c:v>4.166666666666667</c:v>
                </c:pt>
                <c:pt idx="14">
                  <c:v>4.2</c:v>
                </c:pt>
                <c:pt idx="15">
                  <c:v>2.25</c:v>
                </c:pt>
                <c:pt idx="16">
                  <c:v>1.3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C-AC43-B103-4FC0489A6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4820800"/>
        <c:axId val="939771696"/>
      </c:lineChart>
      <c:catAx>
        <c:axId val="944820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i="1"/>
                  <a:t>t</a:t>
                </a:r>
                <a:r>
                  <a:rPr lang="en-GB" baseline="0"/>
                  <a:t> (weeks)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771696"/>
        <c:crosses val="autoZero"/>
        <c:auto val="1"/>
        <c:lblAlgn val="ctr"/>
        <c:lblOffset val="100"/>
        <c:noMultiLvlLbl val="0"/>
      </c:catAx>
      <c:valAx>
        <c:axId val="93977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Average</a:t>
                </a:r>
                <a:r>
                  <a:rPr lang="en-GB" baseline="0"/>
                  <a:t> queue time of major defects still to be fixed 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82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'staff allocation'!$Y$2</c:f>
              <c:strCache>
                <c:ptCount val="1"/>
                <c:pt idx="0">
                  <c:v>Version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allocation'!$Y$3:$Y$22</c:f>
              <c:numCache>
                <c:formatCode>General</c:formatCode>
                <c:ptCount val="20"/>
                <c:pt idx="0">
                  <c:v>192</c:v>
                </c:pt>
                <c:pt idx="1">
                  <c:v>345</c:v>
                </c:pt>
                <c:pt idx="2">
                  <c:v>425</c:v>
                </c:pt>
                <c:pt idx="3">
                  <c:v>468</c:v>
                </c:pt>
                <c:pt idx="4">
                  <c:v>441</c:v>
                </c:pt>
                <c:pt idx="5">
                  <c:v>390</c:v>
                </c:pt>
                <c:pt idx="6">
                  <c:v>339</c:v>
                </c:pt>
                <c:pt idx="7">
                  <c:v>297</c:v>
                </c:pt>
                <c:pt idx="8">
                  <c:v>251</c:v>
                </c:pt>
                <c:pt idx="9">
                  <c:v>210</c:v>
                </c:pt>
                <c:pt idx="10">
                  <c:v>172</c:v>
                </c:pt>
                <c:pt idx="11">
                  <c:v>149</c:v>
                </c:pt>
                <c:pt idx="12">
                  <c:v>131</c:v>
                </c:pt>
                <c:pt idx="13">
                  <c:v>108</c:v>
                </c:pt>
                <c:pt idx="14">
                  <c:v>89</c:v>
                </c:pt>
                <c:pt idx="15">
                  <c:v>65</c:v>
                </c:pt>
                <c:pt idx="16">
                  <c:v>43</c:v>
                </c:pt>
                <c:pt idx="17">
                  <c:v>28</c:v>
                </c:pt>
                <c:pt idx="18">
                  <c:v>13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D8-8143-AEA1-1BE37DCD3D9A}"/>
            </c:ext>
          </c:extLst>
        </c:ser>
        <c:ser>
          <c:idx val="1"/>
          <c:order val="1"/>
          <c:tx>
            <c:strRef>
              <c:f>'staff allocation'!$Z$2</c:f>
              <c:strCache>
                <c:ptCount val="1"/>
                <c:pt idx="0">
                  <c:v>Version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allocation'!$Z$3:$Z$22</c:f>
              <c:numCache>
                <c:formatCode>General</c:formatCode>
                <c:ptCount val="20"/>
                <c:pt idx="0">
                  <c:v>192</c:v>
                </c:pt>
                <c:pt idx="1">
                  <c:v>345</c:v>
                </c:pt>
                <c:pt idx="2">
                  <c:v>425</c:v>
                </c:pt>
                <c:pt idx="3">
                  <c:v>468</c:v>
                </c:pt>
                <c:pt idx="4">
                  <c:v>441</c:v>
                </c:pt>
                <c:pt idx="5">
                  <c:v>390</c:v>
                </c:pt>
                <c:pt idx="6">
                  <c:v>339</c:v>
                </c:pt>
                <c:pt idx="7">
                  <c:v>297</c:v>
                </c:pt>
                <c:pt idx="8">
                  <c:v>251</c:v>
                </c:pt>
                <c:pt idx="9">
                  <c:v>210</c:v>
                </c:pt>
                <c:pt idx="10">
                  <c:v>172</c:v>
                </c:pt>
                <c:pt idx="11">
                  <c:v>149</c:v>
                </c:pt>
                <c:pt idx="12">
                  <c:v>131</c:v>
                </c:pt>
                <c:pt idx="13">
                  <c:v>108</c:v>
                </c:pt>
                <c:pt idx="14">
                  <c:v>89</c:v>
                </c:pt>
                <c:pt idx="15">
                  <c:v>65</c:v>
                </c:pt>
                <c:pt idx="16">
                  <c:v>48</c:v>
                </c:pt>
                <c:pt idx="17">
                  <c:v>38</c:v>
                </c:pt>
                <c:pt idx="18">
                  <c:v>28</c:v>
                </c:pt>
                <c:pt idx="1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D8-8143-AEA1-1BE37DCD3D9A}"/>
            </c:ext>
          </c:extLst>
        </c:ser>
        <c:ser>
          <c:idx val="2"/>
          <c:order val="2"/>
          <c:tx>
            <c:strRef>
              <c:f>'staff allocation'!$AC$2</c:f>
              <c:strCache>
                <c:ptCount val="1"/>
                <c:pt idx="0">
                  <c:v>Version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allocation'!$AC$3:$AC$22</c:f>
              <c:numCache>
                <c:formatCode>General</c:formatCode>
                <c:ptCount val="20"/>
                <c:pt idx="0">
                  <c:v>393</c:v>
                </c:pt>
                <c:pt idx="1">
                  <c:v>661</c:v>
                </c:pt>
                <c:pt idx="2">
                  <c:v>837</c:v>
                </c:pt>
                <c:pt idx="3">
                  <c:v>927</c:v>
                </c:pt>
                <c:pt idx="4">
                  <c:v>780</c:v>
                </c:pt>
                <c:pt idx="5">
                  <c:v>636</c:v>
                </c:pt>
                <c:pt idx="6">
                  <c:v>533</c:v>
                </c:pt>
                <c:pt idx="7">
                  <c:v>470</c:v>
                </c:pt>
                <c:pt idx="8">
                  <c:v>416</c:v>
                </c:pt>
                <c:pt idx="9">
                  <c:v>348</c:v>
                </c:pt>
                <c:pt idx="10">
                  <c:v>288</c:v>
                </c:pt>
                <c:pt idx="11">
                  <c:v>224</c:v>
                </c:pt>
                <c:pt idx="12">
                  <c:v>190</c:v>
                </c:pt>
                <c:pt idx="13">
                  <c:v>165</c:v>
                </c:pt>
                <c:pt idx="14">
                  <c:v>140</c:v>
                </c:pt>
                <c:pt idx="15">
                  <c:v>115</c:v>
                </c:pt>
                <c:pt idx="16">
                  <c:v>90</c:v>
                </c:pt>
                <c:pt idx="17">
                  <c:v>65</c:v>
                </c:pt>
                <c:pt idx="18">
                  <c:v>51</c:v>
                </c:pt>
                <c:pt idx="19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D8-8143-AEA1-1BE37DCD3D9A}"/>
            </c:ext>
          </c:extLst>
        </c:ser>
        <c:ser>
          <c:idx val="3"/>
          <c:order val="3"/>
          <c:tx>
            <c:strRef>
              <c:f>'staff allocation'!$AB$2</c:f>
              <c:strCache>
                <c:ptCount val="1"/>
                <c:pt idx="0">
                  <c:v>Version 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allocation'!$AB$3:$AB$22</c:f>
              <c:numCache>
                <c:formatCode>General</c:formatCode>
                <c:ptCount val="20"/>
                <c:pt idx="0">
                  <c:v>192</c:v>
                </c:pt>
                <c:pt idx="1">
                  <c:v>345</c:v>
                </c:pt>
                <c:pt idx="2">
                  <c:v>425</c:v>
                </c:pt>
                <c:pt idx="3">
                  <c:v>468</c:v>
                </c:pt>
                <c:pt idx="4">
                  <c:v>441</c:v>
                </c:pt>
                <c:pt idx="5">
                  <c:v>390</c:v>
                </c:pt>
                <c:pt idx="6">
                  <c:v>339</c:v>
                </c:pt>
                <c:pt idx="7">
                  <c:v>297</c:v>
                </c:pt>
                <c:pt idx="8">
                  <c:v>251</c:v>
                </c:pt>
                <c:pt idx="9">
                  <c:v>210</c:v>
                </c:pt>
                <c:pt idx="10">
                  <c:v>172</c:v>
                </c:pt>
                <c:pt idx="11">
                  <c:v>149</c:v>
                </c:pt>
                <c:pt idx="12">
                  <c:v>131</c:v>
                </c:pt>
                <c:pt idx="13">
                  <c:v>108</c:v>
                </c:pt>
                <c:pt idx="14">
                  <c:v>89</c:v>
                </c:pt>
                <c:pt idx="15">
                  <c:v>65</c:v>
                </c:pt>
                <c:pt idx="16">
                  <c:v>43</c:v>
                </c:pt>
                <c:pt idx="17">
                  <c:v>28</c:v>
                </c:pt>
                <c:pt idx="18">
                  <c:v>13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D8-8143-AEA1-1BE37DCD3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0096128"/>
        <c:axId val="914185920"/>
      </c:lineChart>
      <c:catAx>
        <c:axId val="940096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185920"/>
        <c:crosses val="autoZero"/>
        <c:auto val="1"/>
        <c:lblAlgn val="ctr"/>
        <c:lblOffset val="100"/>
        <c:noMultiLvlLbl val="0"/>
      </c:catAx>
      <c:valAx>
        <c:axId val="91418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000" b="0" i="0" u="none" strike="noStrike" baseline="0">
                    <a:effectLst/>
                  </a:rPr>
                  <a:t>Total importance of found defects to be fixed 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09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'staff allocation'!$Y$27</c:f>
              <c:strCache>
                <c:ptCount val="1"/>
                <c:pt idx="0">
                  <c:v>Version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allocation'!$Y$28:$Y$47</c:f>
              <c:numCache>
                <c:formatCode>General</c:formatCode>
                <c:ptCount val="20"/>
                <c:pt idx="0">
                  <c:v>7</c:v>
                </c:pt>
                <c:pt idx="1">
                  <c:v>5.384615384615385</c:v>
                </c:pt>
                <c:pt idx="2">
                  <c:v>3.9230769230769229</c:v>
                </c:pt>
                <c:pt idx="3">
                  <c:v>4.4444444444444446</c:v>
                </c:pt>
                <c:pt idx="4">
                  <c:v>1.2142857142857142</c:v>
                </c:pt>
                <c:pt idx="5">
                  <c:v>0.7857142857142857</c:v>
                </c:pt>
                <c:pt idx="6">
                  <c:v>0.75</c:v>
                </c:pt>
                <c:pt idx="7">
                  <c:v>0.5714285714285714</c:v>
                </c:pt>
                <c:pt idx="8">
                  <c:v>0.66666666666666663</c:v>
                </c:pt>
                <c:pt idx="9">
                  <c:v>0.6428571428571429</c:v>
                </c:pt>
                <c:pt idx="10">
                  <c:v>0.22222222222222221</c:v>
                </c:pt>
                <c:pt idx="11">
                  <c:v>0.11538461538461539</c:v>
                </c:pt>
                <c:pt idx="12">
                  <c:v>0.21739130434782608</c:v>
                </c:pt>
                <c:pt idx="13">
                  <c:v>0.11538461538461539</c:v>
                </c:pt>
                <c:pt idx="14">
                  <c:v>0.20833333333333334</c:v>
                </c:pt>
                <c:pt idx="15">
                  <c:v>7.6923076923076927E-2</c:v>
                </c:pt>
                <c:pt idx="16">
                  <c:v>4.3478260869565216E-2</c:v>
                </c:pt>
                <c:pt idx="17">
                  <c:v>6.25E-2</c:v>
                </c:pt>
                <c:pt idx="18">
                  <c:v>6.25E-2</c:v>
                </c:pt>
                <c:pt idx="19">
                  <c:v>7.1428571428571425E-2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8-AB4C-B5CE-B1C17924198C}"/>
            </c:ext>
          </c:extLst>
        </c:ser>
        <c:ser>
          <c:idx val="1"/>
          <c:order val="1"/>
          <c:tx>
            <c:strRef>
              <c:f>'staff allocation'!$Z$27</c:f>
              <c:strCache>
                <c:ptCount val="1"/>
                <c:pt idx="0">
                  <c:v>Version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allocation'!$Z$28:$Z$47</c:f>
              <c:numCache>
                <c:formatCode>General</c:formatCode>
                <c:ptCount val="20"/>
                <c:pt idx="0">
                  <c:v>7</c:v>
                </c:pt>
                <c:pt idx="1">
                  <c:v>5.384615384615385</c:v>
                </c:pt>
                <c:pt idx="2">
                  <c:v>3.9230769230769229</c:v>
                </c:pt>
                <c:pt idx="3">
                  <c:v>4.4444444444444446</c:v>
                </c:pt>
                <c:pt idx="4">
                  <c:v>1.2142857142857142</c:v>
                </c:pt>
                <c:pt idx="5">
                  <c:v>0.7857142857142857</c:v>
                </c:pt>
                <c:pt idx="6">
                  <c:v>0.75</c:v>
                </c:pt>
                <c:pt idx="7">
                  <c:v>0.5714285714285714</c:v>
                </c:pt>
                <c:pt idx="8">
                  <c:v>0.66666666666666663</c:v>
                </c:pt>
                <c:pt idx="9">
                  <c:v>0.6428571428571429</c:v>
                </c:pt>
                <c:pt idx="10">
                  <c:v>0.22222222222222221</c:v>
                </c:pt>
                <c:pt idx="11">
                  <c:v>0.11538461538461539</c:v>
                </c:pt>
                <c:pt idx="12">
                  <c:v>0.21739130434782608</c:v>
                </c:pt>
                <c:pt idx="13">
                  <c:v>0.11538461538461539</c:v>
                </c:pt>
                <c:pt idx="14">
                  <c:v>0.20833333333333334</c:v>
                </c:pt>
                <c:pt idx="15">
                  <c:v>7.6923076923076927E-2</c:v>
                </c:pt>
                <c:pt idx="16">
                  <c:v>5.5555555555555552E-2</c:v>
                </c:pt>
                <c:pt idx="17">
                  <c:v>9.0909090909090912E-2</c:v>
                </c:pt>
                <c:pt idx="18">
                  <c:v>9.0909090909090912E-2</c:v>
                </c:pt>
                <c:pt idx="19">
                  <c:v>9.0909090909090912E-2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A8-AB4C-B5CE-B1C17924198C}"/>
            </c:ext>
          </c:extLst>
        </c:ser>
        <c:ser>
          <c:idx val="2"/>
          <c:order val="2"/>
          <c:tx>
            <c:strRef>
              <c:f>'staff allocation'!$AC$27</c:f>
              <c:strCache>
                <c:ptCount val="1"/>
                <c:pt idx="0">
                  <c:v>Version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allocation'!$AC$28:$AC$47</c:f>
              <c:numCache>
                <c:formatCode>General</c:formatCode>
                <c:ptCount val="20"/>
                <c:pt idx="0">
                  <c:v>118</c:v>
                </c:pt>
                <c:pt idx="1">
                  <c:v>89</c:v>
                </c:pt>
                <c:pt idx="2">
                  <c:v>57</c:v>
                </c:pt>
                <c:pt idx="3">
                  <c:v>37</c:v>
                </c:pt>
                <c:pt idx="4">
                  <c:v>0.42307692307692307</c:v>
                </c:pt>
                <c:pt idx="5">
                  <c:v>0.30769230769230771</c:v>
                </c:pt>
                <c:pt idx="6">
                  <c:v>0.23529411764705882</c:v>
                </c:pt>
                <c:pt idx="7">
                  <c:v>0.25</c:v>
                </c:pt>
                <c:pt idx="8">
                  <c:v>0.45454545454545453</c:v>
                </c:pt>
                <c:pt idx="9">
                  <c:v>0.27272727272727271</c:v>
                </c:pt>
                <c:pt idx="10">
                  <c:v>0.45454545454545453</c:v>
                </c:pt>
                <c:pt idx="11">
                  <c:v>0.16666666666666666</c:v>
                </c:pt>
                <c:pt idx="12">
                  <c:v>4.3478260869565216E-2</c:v>
                </c:pt>
                <c:pt idx="13">
                  <c:v>3.8461538461538464E-2</c:v>
                </c:pt>
                <c:pt idx="14">
                  <c:v>3.8461538461538464E-2</c:v>
                </c:pt>
                <c:pt idx="15">
                  <c:v>3.8461538461538464E-2</c:v>
                </c:pt>
                <c:pt idx="16">
                  <c:v>3.8461538461538464E-2</c:v>
                </c:pt>
                <c:pt idx="17">
                  <c:v>3.8461538461538464E-2</c:v>
                </c:pt>
                <c:pt idx="18">
                  <c:v>6.6666666666666666E-2</c:v>
                </c:pt>
                <c:pt idx="19">
                  <c:v>9.0909090909090912E-2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A8-AB4C-B5CE-B1C17924198C}"/>
            </c:ext>
          </c:extLst>
        </c:ser>
        <c:ser>
          <c:idx val="3"/>
          <c:order val="3"/>
          <c:tx>
            <c:strRef>
              <c:f>'staff allocation'!$AB$27</c:f>
              <c:strCache>
                <c:ptCount val="1"/>
                <c:pt idx="0">
                  <c:v>Version 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4"/>
            <c:marker>
              <c:symbol val="none"/>
            </c:marker>
            <c:bubble3D val="0"/>
            <c:spPr>
              <a:ln w="12700" cap="rnd">
                <a:solidFill>
                  <a:schemeClr val="accent4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827-944B-BCB5-B042766151B4}"/>
              </c:ext>
            </c:extLst>
          </c:dPt>
          <c:val>
            <c:numRef>
              <c:f>'staff allocation'!$AB$28:$AB$47</c:f>
              <c:numCache>
                <c:formatCode>General</c:formatCode>
                <c:ptCount val="20"/>
                <c:pt idx="0">
                  <c:v>7</c:v>
                </c:pt>
                <c:pt idx="1">
                  <c:v>5.384615384615385</c:v>
                </c:pt>
                <c:pt idx="2">
                  <c:v>3.9230769230769229</c:v>
                </c:pt>
                <c:pt idx="3">
                  <c:v>4.4444444444444446</c:v>
                </c:pt>
                <c:pt idx="4">
                  <c:v>1.2142857142857142</c:v>
                </c:pt>
                <c:pt idx="5">
                  <c:v>0.7857142857142857</c:v>
                </c:pt>
                <c:pt idx="6">
                  <c:v>0.75</c:v>
                </c:pt>
                <c:pt idx="7">
                  <c:v>0.5714285714285714</c:v>
                </c:pt>
                <c:pt idx="8">
                  <c:v>0.66666666666666663</c:v>
                </c:pt>
                <c:pt idx="9">
                  <c:v>0.6428571428571429</c:v>
                </c:pt>
                <c:pt idx="10">
                  <c:v>0.22222222222222221</c:v>
                </c:pt>
                <c:pt idx="11">
                  <c:v>0.11538461538461539</c:v>
                </c:pt>
                <c:pt idx="12">
                  <c:v>0.21739130434782608</c:v>
                </c:pt>
                <c:pt idx="13">
                  <c:v>0.11538461538461539</c:v>
                </c:pt>
                <c:pt idx="14">
                  <c:v>0.20833333333333334</c:v>
                </c:pt>
                <c:pt idx="15">
                  <c:v>7.6923076923076927E-2</c:v>
                </c:pt>
                <c:pt idx="16">
                  <c:v>4.3478260869565216E-2</c:v>
                </c:pt>
                <c:pt idx="17">
                  <c:v>6.25E-2</c:v>
                </c:pt>
                <c:pt idx="18">
                  <c:v>6.25E-2</c:v>
                </c:pt>
                <c:pt idx="19">
                  <c:v>7.1428571428571425E-2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A8-AB4C-B5CE-B1C179241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132288"/>
        <c:axId val="867263808"/>
      </c:lineChart>
      <c:catAx>
        <c:axId val="908132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263808"/>
        <c:crosses val="autoZero"/>
        <c:auto val="1"/>
        <c:lblAlgn val="ctr"/>
        <c:lblOffset val="100"/>
        <c:noMultiLvlLbl val="0"/>
      </c:catAx>
      <c:valAx>
        <c:axId val="867263808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Ratio</a:t>
                </a:r>
                <a:r>
                  <a:rPr lang="en-GB" baseline="0"/>
                  <a:t> of defects found to defects fixed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13228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'staff allocation'!$Y$51</c:f>
              <c:strCache>
                <c:ptCount val="1"/>
                <c:pt idx="0">
                  <c:v>Version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allocation'!$Y$52:$Y$71</c:f>
              <c:numCache>
                <c:formatCode>General</c:formatCode>
                <c:ptCount val="20"/>
                <c:pt idx="0">
                  <c:v>2.5702479338842976</c:v>
                </c:pt>
                <c:pt idx="1">
                  <c:v>3.6923076923076925</c:v>
                </c:pt>
                <c:pt idx="2">
                  <c:v>4.2307692307692308</c:v>
                </c:pt>
                <c:pt idx="3">
                  <c:v>5.8888888888888893</c:v>
                </c:pt>
                <c:pt idx="4">
                  <c:v>4.25</c:v>
                </c:pt>
                <c:pt idx="5">
                  <c:v>3.5833333333333335</c:v>
                </c:pt>
                <c:pt idx="6">
                  <c:v>3.0909090909090908</c:v>
                </c:pt>
                <c:pt idx="7">
                  <c:v>2.4166666666666665</c:v>
                </c:pt>
                <c:pt idx="8">
                  <c:v>1.8333333333333333</c:v>
                </c:pt>
                <c:pt idx="9">
                  <c:v>1.3333333333333333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94-4E48-A9AD-0AA535F13462}"/>
            </c:ext>
          </c:extLst>
        </c:ser>
        <c:ser>
          <c:idx val="1"/>
          <c:order val="1"/>
          <c:tx>
            <c:strRef>
              <c:f>'staff allocation'!$Z$51</c:f>
              <c:strCache>
                <c:ptCount val="1"/>
                <c:pt idx="0">
                  <c:v>Version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allocation'!$Z$52:$Z$71</c:f>
              <c:numCache>
                <c:formatCode>General</c:formatCode>
                <c:ptCount val="20"/>
                <c:pt idx="0">
                  <c:v>2.5702479338842976</c:v>
                </c:pt>
                <c:pt idx="1">
                  <c:v>3.6923076923076925</c:v>
                </c:pt>
                <c:pt idx="2">
                  <c:v>4.2307692307692308</c:v>
                </c:pt>
                <c:pt idx="3">
                  <c:v>5.8888888888888893</c:v>
                </c:pt>
                <c:pt idx="4">
                  <c:v>4.25</c:v>
                </c:pt>
                <c:pt idx="5">
                  <c:v>3.5833333333333335</c:v>
                </c:pt>
                <c:pt idx="6">
                  <c:v>3.0909090909090908</c:v>
                </c:pt>
                <c:pt idx="7">
                  <c:v>2.4166666666666665</c:v>
                </c:pt>
                <c:pt idx="8">
                  <c:v>1.8333333333333333</c:v>
                </c:pt>
                <c:pt idx="9">
                  <c:v>1.3333333333333333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94-4E48-A9AD-0AA535F13462}"/>
            </c:ext>
          </c:extLst>
        </c:ser>
        <c:ser>
          <c:idx val="2"/>
          <c:order val="2"/>
          <c:tx>
            <c:strRef>
              <c:f>'staff allocation'!$AC$51</c:f>
              <c:strCache>
                <c:ptCount val="1"/>
                <c:pt idx="0">
                  <c:v>Version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allocation'!$AC$52:$AC$71</c:f>
              <c:numCache>
                <c:formatCode>General</c:formatCode>
                <c:ptCount val="20"/>
                <c:pt idx="0">
                  <c:v>461</c:v>
                </c:pt>
                <c:pt idx="1">
                  <c:v>77</c:v>
                </c:pt>
                <c:pt idx="2">
                  <c:v>97</c:v>
                </c:pt>
                <c:pt idx="3">
                  <c:v>106</c:v>
                </c:pt>
                <c:pt idx="4">
                  <c:v>4.1923076923076925</c:v>
                </c:pt>
                <c:pt idx="5">
                  <c:v>3.3846153846153846</c:v>
                </c:pt>
                <c:pt idx="6">
                  <c:v>3.7647058823529411</c:v>
                </c:pt>
                <c:pt idx="7">
                  <c:v>4.4545454545454541</c:v>
                </c:pt>
                <c:pt idx="8">
                  <c:v>3.7272727272727271</c:v>
                </c:pt>
                <c:pt idx="9">
                  <c:v>2.8181818181818183</c:v>
                </c:pt>
                <c:pt idx="10">
                  <c:v>2</c:v>
                </c:pt>
                <c:pt idx="11">
                  <c:v>1.1818181818181819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94-4E48-A9AD-0AA535F13462}"/>
            </c:ext>
          </c:extLst>
        </c:ser>
        <c:ser>
          <c:idx val="3"/>
          <c:order val="3"/>
          <c:tx>
            <c:strRef>
              <c:f>'staff allocation'!$AB$51</c:f>
              <c:strCache>
                <c:ptCount val="1"/>
                <c:pt idx="0">
                  <c:v>Version 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allocation'!$AB$52:$AB$71</c:f>
              <c:numCache>
                <c:formatCode>General</c:formatCode>
                <c:ptCount val="20"/>
                <c:pt idx="0">
                  <c:v>2.5702479338842976</c:v>
                </c:pt>
                <c:pt idx="1">
                  <c:v>3.6923076923076925</c:v>
                </c:pt>
                <c:pt idx="2">
                  <c:v>4.2307692307692308</c:v>
                </c:pt>
                <c:pt idx="3">
                  <c:v>5.8888888888888893</c:v>
                </c:pt>
                <c:pt idx="4">
                  <c:v>4.25</c:v>
                </c:pt>
                <c:pt idx="5">
                  <c:v>3.5833333333333335</c:v>
                </c:pt>
                <c:pt idx="6">
                  <c:v>3.0909090909090908</c:v>
                </c:pt>
                <c:pt idx="7">
                  <c:v>2.4166666666666665</c:v>
                </c:pt>
                <c:pt idx="8">
                  <c:v>1.8333333333333333</c:v>
                </c:pt>
                <c:pt idx="9">
                  <c:v>1.3333333333333333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94-4E48-A9AD-0AA535F13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2120240"/>
        <c:axId val="867193088"/>
      </c:lineChart>
      <c:catAx>
        <c:axId val="942120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193088"/>
        <c:crosses val="autoZero"/>
        <c:auto val="1"/>
        <c:lblAlgn val="ctr"/>
        <c:lblOffset val="100"/>
        <c:noMultiLvlLbl val="0"/>
      </c:catAx>
      <c:valAx>
        <c:axId val="86719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Average</a:t>
                </a:r>
                <a:r>
                  <a:rPr lang="en-GB" baseline="0"/>
                  <a:t> major queue time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212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'staff allocation'!$Y$2</c:f>
              <c:strCache>
                <c:ptCount val="1"/>
                <c:pt idx="0">
                  <c:v>Version 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allocation'!$Y$3:$Y$22</c:f>
              <c:numCache>
                <c:formatCode>General</c:formatCode>
                <c:ptCount val="20"/>
                <c:pt idx="0">
                  <c:v>192</c:v>
                </c:pt>
                <c:pt idx="1">
                  <c:v>345</c:v>
                </c:pt>
                <c:pt idx="2">
                  <c:v>425</c:v>
                </c:pt>
                <c:pt idx="3">
                  <c:v>468</c:v>
                </c:pt>
                <c:pt idx="4">
                  <c:v>441</c:v>
                </c:pt>
                <c:pt idx="5">
                  <c:v>390</c:v>
                </c:pt>
                <c:pt idx="6">
                  <c:v>339</c:v>
                </c:pt>
                <c:pt idx="7">
                  <c:v>297</c:v>
                </c:pt>
                <c:pt idx="8">
                  <c:v>251</c:v>
                </c:pt>
                <c:pt idx="9">
                  <c:v>210</c:v>
                </c:pt>
                <c:pt idx="10">
                  <c:v>172</c:v>
                </c:pt>
                <c:pt idx="11">
                  <c:v>149</c:v>
                </c:pt>
                <c:pt idx="12">
                  <c:v>131</c:v>
                </c:pt>
                <c:pt idx="13">
                  <c:v>108</c:v>
                </c:pt>
                <c:pt idx="14">
                  <c:v>89</c:v>
                </c:pt>
                <c:pt idx="15">
                  <c:v>65</c:v>
                </c:pt>
                <c:pt idx="16">
                  <c:v>43</c:v>
                </c:pt>
                <c:pt idx="17">
                  <c:v>28</c:v>
                </c:pt>
                <c:pt idx="18">
                  <c:v>13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5-164B-B6A8-1403A406E021}"/>
            </c:ext>
          </c:extLst>
        </c:ser>
        <c:ser>
          <c:idx val="1"/>
          <c:order val="1"/>
          <c:tx>
            <c:strRef>
              <c:f>'staff allocation'!$Z$2</c:f>
              <c:strCache>
                <c:ptCount val="1"/>
                <c:pt idx="0">
                  <c:v>Version 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allocation'!$Z$3:$Z$22</c:f>
              <c:numCache>
                <c:formatCode>General</c:formatCode>
                <c:ptCount val="20"/>
                <c:pt idx="0">
                  <c:v>192</c:v>
                </c:pt>
                <c:pt idx="1">
                  <c:v>345</c:v>
                </c:pt>
                <c:pt idx="2">
                  <c:v>425</c:v>
                </c:pt>
                <c:pt idx="3">
                  <c:v>468</c:v>
                </c:pt>
                <c:pt idx="4">
                  <c:v>441</c:v>
                </c:pt>
                <c:pt idx="5">
                  <c:v>390</c:v>
                </c:pt>
                <c:pt idx="6">
                  <c:v>339</c:v>
                </c:pt>
                <c:pt idx="7">
                  <c:v>297</c:v>
                </c:pt>
                <c:pt idx="8">
                  <c:v>251</c:v>
                </c:pt>
                <c:pt idx="9">
                  <c:v>210</c:v>
                </c:pt>
                <c:pt idx="10">
                  <c:v>172</c:v>
                </c:pt>
                <c:pt idx="11">
                  <c:v>149</c:v>
                </c:pt>
                <c:pt idx="12">
                  <c:v>131</c:v>
                </c:pt>
                <c:pt idx="13">
                  <c:v>108</c:v>
                </c:pt>
                <c:pt idx="14">
                  <c:v>89</c:v>
                </c:pt>
                <c:pt idx="15">
                  <c:v>65</c:v>
                </c:pt>
                <c:pt idx="16">
                  <c:v>48</c:v>
                </c:pt>
                <c:pt idx="17">
                  <c:v>38</c:v>
                </c:pt>
                <c:pt idx="18">
                  <c:v>28</c:v>
                </c:pt>
                <c:pt idx="19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5-164B-B6A8-1403A406E021}"/>
            </c:ext>
          </c:extLst>
        </c:ser>
        <c:ser>
          <c:idx val="2"/>
          <c:order val="2"/>
          <c:tx>
            <c:strRef>
              <c:f>'staff allocation'!$AA$2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allocation'!$AA$3:$AA$22</c:f>
              <c:numCache>
                <c:formatCode>General</c:formatCode>
                <c:ptCount val="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5-164B-B6A8-1403A406E021}"/>
            </c:ext>
          </c:extLst>
        </c:ser>
        <c:ser>
          <c:idx val="3"/>
          <c:order val="3"/>
          <c:tx>
            <c:strRef>
              <c:f>'staff allocation'!$AB$2</c:f>
              <c:strCache>
                <c:ptCount val="1"/>
                <c:pt idx="0">
                  <c:v>Version D</c:v>
                </c:pt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'staff allocation'!$AB$3:$AB$22</c:f>
              <c:numCache>
                <c:formatCode>General</c:formatCode>
                <c:ptCount val="20"/>
                <c:pt idx="0">
                  <c:v>192</c:v>
                </c:pt>
                <c:pt idx="1">
                  <c:v>345</c:v>
                </c:pt>
                <c:pt idx="2">
                  <c:v>425</c:v>
                </c:pt>
                <c:pt idx="3">
                  <c:v>468</c:v>
                </c:pt>
                <c:pt idx="4">
                  <c:v>441</c:v>
                </c:pt>
                <c:pt idx="5">
                  <c:v>390</c:v>
                </c:pt>
                <c:pt idx="6">
                  <c:v>339</c:v>
                </c:pt>
                <c:pt idx="7">
                  <c:v>297</c:v>
                </c:pt>
                <c:pt idx="8">
                  <c:v>251</c:v>
                </c:pt>
                <c:pt idx="9">
                  <c:v>210</c:v>
                </c:pt>
                <c:pt idx="10">
                  <c:v>172</c:v>
                </c:pt>
                <c:pt idx="11">
                  <c:v>149</c:v>
                </c:pt>
                <c:pt idx="12">
                  <c:v>131</c:v>
                </c:pt>
                <c:pt idx="13">
                  <c:v>108</c:v>
                </c:pt>
                <c:pt idx="14">
                  <c:v>89</c:v>
                </c:pt>
                <c:pt idx="15">
                  <c:v>65</c:v>
                </c:pt>
                <c:pt idx="16">
                  <c:v>43</c:v>
                </c:pt>
                <c:pt idx="17">
                  <c:v>28</c:v>
                </c:pt>
                <c:pt idx="18">
                  <c:v>13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B5-164B-B6A8-1403A406E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080815"/>
        <c:axId val="1531054991"/>
      </c:lineChart>
      <c:catAx>
        <c:axId val="1518080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1054991"/>
        <c:crosses val="autoZero"/>
        <c:auto val="1"/>
        <c:lblAlgn val="ctr"/>
        <c:lblOffset val="100"/>
        <c:noMultiLvlLbl val="0"/>
      </c:catAx>
      <c:valAx>
        <c:axId val="15310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08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330200</xdr:colOff>
      <xdr:row>27</xdr:row>
      <xdr:rowOff>139700</xdr:rowOff>
    </xdr:from>
    <xdr:to>
      <xdr:col>4</xdr:col>
      <xdr:colOff>1003300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70F855-C8AA-FB4C-A0E8-564F1AFB2F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203200</xdr:colOff>
      <xdr:row>28</xdr:row>
      <xdr:rowOff>0</xdr:rowOff>
    </xdr:from>
    <xdr:to>
      <xdr:col>10</xdr:col>
      <xdr:colOff>190500</xdr:colOff>
      <xdr:row>44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E3E365-7E92-3147-86D7-EDE2AA3AE0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28</xdr:row>
      <xdr:rowOff>0</xdr:rowOff>
    </xdr:from>
    <xdr:to>
      <xdr:col>15</xdr:col>
      <xdr:colOff>673100</xdr:colOff>
      <xdr:row>44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CED956-3957-E94E-9C53-E30BFC5C5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558800</xdr:colOff>
      <xdr:row>3</xdr:row>
      <xdr:rowOff>114300</xdr:rowOff>
    </xdr:from>
    <xdr:to>
      <xdr:col>16</xdr:col>
      <xdr:colOff>749300</xdr:colOff>
      <xdr:row>20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AE5ED1-15BD-3C42-B9EA-6070223B0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25</xdr:row>
      <xdr:rowOff>0</xdr:rowOff>
    </xdr:from>
    <xdr:to>
      <xdr:col>10</xdr:col>
      <xdr:colOff>615950</xdr:colOff>
      <xdr:row>39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B16EEE5-6E02-D54F-842C-ADF9A06F0C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241300</xdr:colOff>
      <xdr:row>27</xdr:row>
      <xdr:rowOff>139700</xdr:rowOff>
    </xdr:from>
    <xdr:to>
      <xdr:col>12</xdr:col>
      <xdr:colOff>228600</xdr:colOff>
      <xdr:row>42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6A5710-3CD1-804A-8BBC-DC62B5D719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25</xdr:row>
      <xdr:rowOff>139700</xdr:rowOff>
    </xdr:from>
    <xdr:to>
      <xdr:col>10</xdr:col>
      <xdr:colOff>171450</xdr:colOff>
      <xdr:row>40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BE85B5-E7B0-8242-9E0B-7AC78919D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111835</xdr:colOff>
      <xdr:row>2</xdr:row>
      <xdr:rowOff>31087</xdr:rowOff>
    </xdr:from>
    <xdr:to>
      <xdr:col>35</xdr:col>
      <xdr:colOff>37909</xdr:colOff>
      <xdr:row>19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FE6A2A-021E-9440-9351-2DF3B28A25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415119</xdr:colOff>
      <xdr:row>23</xdr:row>
      <xdr:rowOff>25400</xdr:rowOff>
    </xdr:from>
    <xdr:to>
      <xdr:col>36</xdr:col>
      <xdr:colOff>38100</xdr:colOff>
      <xdr:row>44</xdr:row>
      <xdr:rowOff>63689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DDE37A-CDB1-AE49-AA6A-14E8F6F0D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358253</xdr:colOff>
      <xdr:row>52</xdr:row>
      <xdr:rowOff>12132</xdr:rowOff>
    </xdr:from>
    <xdr:to>
      <xdr:col>36</xdr:col>
      <xdr:colOff>37910</xdr:colOff>
      <xdr:row>73</xdr:row>
      <xdr:rowOff>75821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8A5E51-E71B-8541-A86B-26AD6EFD9E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110964</xdr:colOff>
      <xdr:row>0</xdr:row>
      <xdr:rowOff>0</xdr:rowOff>
    </xdr:from>
    <xdr:to>
      <xdr:col>43</xdr:col>
      <xdr:colOff>157146</xdr:colOff>
      <xdr:row>22</xdr:row>
      <xdr:rowOff>153555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1FAEB08-A28D-3149-8976-0243AEAEA0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icolelow/Downloads/assignment1-data%20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sion2"/>
      <sheetName val="Sheet1"/>
      <sheetName val="Sheet2"/>
    </sheetNames>
    <sheetDataSet>
      <sheetData sheetId="0" refreshError="1"/>
      <sheetData sheetId="1">
        <row r="3">
          <cell r="K3" t="str">
            <v>Total</v>
          </cell>
        </row>
        <row r="4">
          <cell r="J4">
            <v>1</v>
          </cell>
          <cell r="K4">
            <v>48</v>
          </cell>
        </row>
        <row r="5">
          <cell r="J5">
            <v>2</v>
          </cell>
          <cell r="K5">
            <v>42</v>
          </cell>
        </row>
        <row r="6">
          <cell r="J6">
            <v>3</v>
          </cell>
          <cell r="K6">
            <v>32</v>
          </cell>
        </row>
        <row r="7">
          <cell r="J7">
            <v>4</v>
          </cell>
          <cell r="K7">
            <v>27</v>
          </cell>
        </row>
        <row r="8">
          <cell r="J8">
            <v>5</v>
          </cell>
          <cell r="K8">
            <v>23</v>
          </cell>
        </row>
        <row r="9">
          <cell r="J9">
            <v>6</v>
          </cell>
          <cell r="K9">
            <v>23</v>
          </cell>
        </row>
        <row r="10">
          <cell r="J10">
            <v>7</v>
          </cell>
          <cell r="K10">
            <v>19</v>
          </cell>
        </row>
        <row r="11">
          <cell r="J11">
            <v>8</v>
          </cell>
          <cell r="K11">
            <v>16</v>
          </cell>
        </row>
        <row r="12">
          <cell r="J12">
            <v>9</v>
          </cell>
          <cell r="K12">
            <v>13</v>
          </cell>
        </row>
        <row r="13">
          <cell r="J13">
            <v>10</v>
          </cell>
          <cell r="K13">
            <v>10</v>
          </cell>
        </row>
        <row r="14">
          <cell r="J14">
            <v>11</v>
          </cell>
          <cell r="K14">
            <v>8</v>
          </cell>
        </row>
        <row r="15">
          <cell r="J15">
            <v>12</v>
          </cell>
          <cell r="K15">
            <v>9</v>
          </cell>
        </row>
        <row r="16">
          <cell r="J16">
            <v>13</v>
          </cell>
          <cell r="K16">
            <v>7</v>
          </cell>
        </row>
        <row r="17">
          <cell r="J17">
            <v>14</v>
          </cell>
          <cell r="K17">
            <v>7</v>
          </cell>
        </row>
        <row r="18">
          <cell r="J18">
            <v>15</v>
          </cell>
          <cell r="K18">
            <v>3</v>
          </cell>
        </row>
        <row r="19">
          <cell r="J19">
            <v>16</v>
          </cell>
          <cell r="K19">
            <v>2</v>
          </cell>
        </row>
        <row r="20">
          <cell r="J20">
            <v>17</v>
          </cell>
          <cell r="K20">
            <v>4</v>
          </cell>
        </row>
        <row r="21">
          <cell r="J21">
            <v>18</v>
          </cell>
          <cell r="K21">
            <v>2</v>
          </cell>
        </row>
        <row r="22">
          <cell r="J22">
            <v>19</v>
          </cell>
          <cell r="K22">
            <v>4</v>
          </cell>
        </row>
        <row r="23">
          <cell r="J23">
            <v>20</v>
          </cell>
          <cell r="K23">
            <v>1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6D38-D7D7-2542-8A2E-2378DB2FD2E2}">
  <dimension ref="A1:K26"/>
  <sheetViews>
    <sheetView workbookViewId="0">
      <selection activeCell="F4" sqref="F4:F23"/>
    </sheetView>
  </sheetViews>
  <sheetFormatPr baseColWidth="10" defaultRowHeight="15" x14ac:dyDescent="0.2"/>
  <sheetData>
    <row r="1" spans="1:11" ht="16" x14ac:dyDescent="0.2">
      <c r="A1" s="43" t="s">
        <v>61</v>
      </c>
    </row>
    <row r="3" spans="1:11" x14ac:dyDescent="0.2">
      <c r="A3" s="44" t="s">
        <v>0</v>
      </c>
      <c r="B3" s="45" t="s">
        <v>1</v>
      </c>
      <c r="C3" s="45" t="s">
        <v>2</v>
      </c>
      <c r="D3" s="45" t="s">
        <v>3</v>
      </c>
      <c r="E3" s="45" t="s">
        <v>4</v>
      </c>
      <c r="F3" s="46" t="s">
        <v>62</v>
      </c>
      <c r="J3" s="44" t="s">
        <v>0</v>
      </c>
      <c r="K3" s="46" t="s">
        <v>62</v>
      </c>
    </row>
    <row r="4" spans="1:11" x14ac:dyDescent="0.2">
      <c r="A4" s="47">
        <v>1</v>
      </c>
      <c r="B4" s="48">
        <v>10</v>
      </c>
      <c r="C4" s="48">
        <v>5</v>
      </c>
      <c r="D4" s="48">
        <v>8</v>
      </c>
      <c r="E4" s="48">
        <v>25</v>
      </c>
      <c r="F4" s="49">
        <f t="shared" ref="F4:F24" si="0">SUM($B4:$E4)</f>
        <v>48</v>
      </c>
      <c r="H4" s="50"/>
      <c r="J4" s="48">
        <v>1</v>
      </c>
      <c r="K4" s="49">
        <f t="shared" ref="K4:K23" si="1">SUM($B4:$E4)</f>
        <v>48</v>
      </c>
    </row>
    <row r="5" spans="1:11" x14ac:dyDescent="0.2">
      <c r="A5" s="47">
        <v>2</v>
      </c>
      <c r="B5" s="48">
        <v>7</v>
      </c>
      <c r="C5" s="48">
        <v>10</v>
      </c>
      <c r="D5" s="48">
        <v>6</v>
      </c>
      <c r="E5" s="48">
        <v>19</v>
      </c>
      <c r="F5" s="51">
        <f t="shared" si="0"/>
        <v>42</v>
      </c>
      <c r="J5" s="48">
        <v>2</v>
      </c>
      <c r="K5" s="51">
        <f t="shared" si="1"/>
        <v>42</v>
      </c>
    </row>
    <row r="6" spans="1:11" x14ac:dyDescent="0.2">
      <c r="A6" s="47">
        <v>3</v>
      </c>
      <c r="B6" s="48">
        <v>6</v>
      </c>
      <c r="C6" s="48">
        <v>5</v>
      </c>
      <c r="D6" s="48">
        <v>5</v>
      </c>
      <c r="E6" s="48">
        <v>16</v>
      </c>
      <c r="F6" s="51">
        <f t="shared" si="0"/>
        <v>32</v>
      </c>
      <c r="J6" s="48">
        <v>3</v>
      </c>
      <c r="K6" s="51">
        <f t="shared" si="1"/>
        <v>32</v>
      </c>
    </row>
    <row r="7" spans="1:11" x14ac:dyDescent="0.2">
      <c r="A7" s="47">
        <v>4</v>
      </c>
      <c r="B7" s="48">
        <v>7</v>
      </c>
      <c r="C7" s="48">
        <v>4</v>
      </c>
      <c r="D7" s="48">
        <v>8</v>
      </c>
      <c r="E7" s="48">
        <v>8</v>
      </c>
      <c r="F7" s="51">
        <f t="shared" si="0"/>
        <v>27</v>
      </c>
      <c r="J7" s="48">
        <v>4</v>
      </c>
      <c r="K7" s="51">
        <f t="shared" si="1"/>
        <v>27</v>
      </c>
    </row>
    <row r="8" spans="1:11" x14ac:dyDescent="0.2">
      <c r="A8" s="47">
        <v>5</v>
      </c>
      <c r="B8" s="48">
        <v>2</v>
      </c>
      <c r="C8" s="48">
        <v>5</v>
      </c>
      <c r="D8" s="48">
        <v>2</v>
      </c>
      <c r="E8" s="48">
        <v>14</v>
      </c>
      <c r="F8" s="51">
        <f t="shared" si="0"/>
        <v>23</v>
      </c>
      <c r="J8" s="48">
        <v>5</v>
      </c>
      <c r="K8" s="51">
        <f t="shared" si="1"/>
        <v>23</v>
      </c>
    </row>
    <row r="9" spans="1:11" x14ac:dyDescent="0.2">
      <c r="A9" s="47">
        <v>6</v>
      </c>
      <c r="B9" s="48">
        <v>3</v>
      </c>
      <c r="C9" s="48">
        <v>3</v>
      </c>
      <c r="D9" s="48">
        <v>1</v>
      </c>
      <c r="E9" s="48">
        <v>16</v>
      </c>
      <c r="F9" s="51">
        <f t="shared" si="0"/>
        <v>23</v>
      </c>
      <c r="J9" s="48">
        <v>6</v>
      </c>
      <c r="K9" s="51">
        <f t="shared" si="1"/>
        <v>23</v>
      </c>
    </row>
    <row r="10" spans="1:11" x14ac:dyDescent="0.2">
      <c r="A10" s="47">
        <v>7</v>
      </c>
      <c r="B10" s="48">
        <v>1</v>
      </c>
      <c r="C10" s="48">
        <v>2</v>
      </c>
      <c r="D10" s="48">
        <v>1</v>
      </c>
      <c r="E10" s="48">
        <v>15</v>
      </c>
      <c r="F10" s="51">
        <f t="shared" si="0"/>
        <v>19</v>
      </c>
      <c r="J10" s="48">
        <v>7</v>
      </c>
      <c r="K10" s="51">
        <f t="shared" si="1"/>
        <v>19</v>
      </c>
    </row>
    <row r="11" spans="1:11" x14ac:dyDescent="0.2">
      <c r="A11" s="47">
        <v>8</v>
      </c>
      <c r="B11" s="48">
        <v>3</v>
      </c>
      <c r="C11" s="48">
        <v>1</v>
      </c>
      <c r="D11" s="48">
        <v>3</v>
      </c>
      <c r="E11" s="48">
        <v>9</v>
      </c>
      <c r="F11" s="51">
        <f t="shared" si="0"/>
        <v>16</v>
      </c>
      <c r="J11" s="48">
        <v>8</v>
      </c>
      <c r="K11" s="51">
        <f t="shared" si="1"/>
        <v>16</v>
      </c>
    </row>
    <row r="12" spans="1:11" x14ac:dyDescent="0.2">
      <c r="A12" s="47">
        <v>9</v>
      </c>
      <c r="B12" s="48">
        <v>1</v>
      </c>
      <c r="C12" s="48">
        <v>4</v>
      </c>
      <c r="D12" s="48">
        <v>1</v>
      </c>
      <c r="E12" s="48">
        <v>7</v>
      </c>
      <c r="F12" s="51">
        <f t="shared" si="0"/>
        <v>13</v>
      </c>
      <c r="J12" s="48">
        <v>9</v>
      </c>
      <c r="K12" s="51">
        <f t="shared" si="1"/>
        <v>13</v>
      </c>
    </row>
    <row r="13" spans="1:11" x14ac:dyDescent="0.2">
      <c r="A13" s="47">
        <v>10</v>
      </c>
      <c r="B13" s="48">
        <v>0</v>
      </c>
      <c r="C13" s="48">
        <v>2</v>
      </c>
      <c r="D13" s="48">
        <v>3</v>
      </c>
      <c r="E13" s="48">
        <v>5</v>
      </c>
      <c r="F13" s="51">
        <f t="shared" si="0"/>
        <v>10</v>
      </c>
      <c r="J13" s="48">
        <v>10</v>
      </c>
      <c r="K13" s="51">
        <f t="shared" si="1"/>
        <v>10</v>
      </c>
    </row>
    <row r="14" spans="1:11" x14ac:dyDescent="0.2">
      <c r="A14" s="47">
        <v>11</v>
      </c>
      <c r="B14" s="48">
        <v>1</v>
      </c>
      <c r="C14" s="48">
        <v>1</v>
      </c>
      <c r="D14" s="48">
        <v>1</v>
      </c>
      <c r="E14" s="48">
        <v>5</v>
      </c>
      <c r="F14" s="51">
        <f t="shared" si="0"/>
        <v>8</v>
      </c>
      <c r="J14" s="48">
        <v>11</v>
      </c>
      <c r="K14" s="51">
        <f t="shared" si="1"/>
        <v>8</v>
      </c>
    </row>
    <row r="15" spans="1:11" x14ac:dyDescent="0.2">
      <c r="A15" s="47">
        <v>12</v>
      </c>
      <c r="B15" s="48">
        <v>1</v>
      </c>
      <c r="C15" s="48">
        <v>1</v>
      </c>
      <c r="D15" s="48">
        <v>4</v>
      </c>
      <c r="E15" s="48">
        <v>3</v>
      </c>
      <c r="F15" s="51">
        <f t="shared" si="0"/>
        <v>9</v>
      </c>
      <c r="J15" s="48">
        <v>12</v>
      </c>
      <c r="K15" s="51">
        <f t="shared" si="1"/>
        <v>9</v>
      </c>
    </row>
    <row r="16" spans="1:11" x14ac:dyDescent="0.2">
      <c r="A16" s="47">
        <v>13</v>
      </c>
      <c r="B16" s="48">
        <v>2</v>
      </c>
      <c r="C16" s="48">
        <v>0</v>
      </c>
      <c r="D16" s="48">
        <v>3</v>
      </c>
      <c r="E16" s="48">
        <v>2</v>
      </c>
      <c r="F16" s="51">
        <f t="shared" si="0"/>
        <v>7</v>
      </c>
      <c r="J16" s="48">
        <v>13</v>
      </c>
      <c r="K16" s="51">
        <f t="shared" si="1"/>
        <v>7</v>
      </c>
    </row>
    <row r="17" spans="1:11" x14ac:dyDescent="0.2">
      <c r="A17" s="47">
        <v>14</v>
      </c>
      <c r="B17" s="48">
        <v>2</v>
      </c>
      <c r="C17" s="48">
        <v>1</v>
      </c>
      <c r="D17" s="48">
        <v>2</v>
      </c>
      <c r="E17" s="48">
        <v>2</v>
      </c>
      <c r="F17" s="51">
        <f t="shared" si="0"/>
        <v>7</v>
      </c>
      <c r="J17" s="48">
        <v>14</v>
      </c>
      <c r="K17" s="51">
        <f t="shared" si="1"/>
        <v>7</v>
      </c>
    </row>
    <row r="18" spans="1:11" x14ac:dyDescent="0.2">
      <c r="A18" s="47">
        <v>15</v>
      </c>
      <c r="B18" s="48">
        <v>1</v>
      </c>
      <c r="C18" s="48">
        <v>1</v>
      </c>
      <c r="D18" s="48">
        <v>0</v>
      </c>
      <c r="E18" s="48">
        <v>1</v>
      </c>
      <c r="F18" s="51">
        <f t="shared" si="0"/>
        <v>3</v>
      </c>
      <c r="J18" s="48">
        <v>15</v>
      </c>
      <c r="K18" s="51">
        <f t="shared" si="1"/>
        <v>3</v>
      </c>
    </row>
    <row r="19" spans="1:11" x14ac:dyDescent="0.2">
      <c r="A19" s="47">
        <v>16</v>
      </c>
      <c r="B19" s="48">
        <v>0</v>
      </c>
      <c r="C19" s="48">
        <v>0</v>
      </c>
      <c r="D19" s="48">
        <v>1</v>
      </c>
      <c r="E19" s="48">
        <v>1</v>
      </c>
      <c r="F19" s="51">
        <f t="shared" si="0"/>
        <v>2</v>
      </c>
      <c r="J19" s="48">
        <v>16</v>
      </c>
      <c r="K19" s="51">
        <f t="shared" si="1"/>
        <v>2</v>
      </c>
    </row>
    <row r="20" spans="1:11" x14ac:dyDescent="0.2">
      <c r="A20" s="47">
        <v>17</v>
      </c>
      <c r="B20" s="48">
        <v>2</v>
      </c>
      <c r="C20" s="48">
        <v>2</v>
      </c>
      <c r="D20" s="48">
        <v>0</v>
      </c>
      <c r="E20" s="48">
        <v>0</v>
      </c>
      <c r="F20" s="51">
        <f t="shared" si="0"/>
        <v>4</v>
      </c>
      <c r="J20" s="48">
        <v>17</v>
      </c>
      <c r="K20" s="51">
        <f t="shared" si="1"/>
        <v>4</v>
      </c>
    </row>
    <row r="21" spans="1:11" x14ac:dyDescent="0.2">
      <c r="A21" s="47">
        <v>18</v>
      </c>
      <c r="B21" s="48">
        <v>0</v>
      </c>
      <c r="C21" s="48">
        <v>1</v>
      </c>
      <c r="D21" s="48">
        <v>0</v>
      </c>
      <c r="E21" s="48">
        <v>1</v>
      </c>
      <c r="F21" s="51">
        <f t="shared" si="0"/>
        <v>2</v>
      </c>
      <c r="J21" s="48">
        <v>18</v>
      </c>
      <c r="K21" s="51">
        <f t="shared" si="1"/>
        <v>2</v>
      </c>
    </row>
    <row r="22" spans="1:11" x14ac:dyDescent="0.2">
      <c r="A22" s="47">
        <v>19</v>
      </c>
      <c r="B22" s="48">
        <v>1</v>
      </c>
      <c r="C22" s="48">
        <v>2</v>
      </c>
      <c r="D22" s="48">
        <v>0</v>
      </c>
      <c r="E22" s="48">
        <v>1</v>
      </c>
      <c r="F22" s="51">
        <f t="shared" si="0"/>
        <v>4</v>
      </c>
      <c r="J22" s="48">
        <v>19</v>
      </c>
      <c r="K22" s="51">
        <f t="shared" si="1"/>
        <v>4</v>
      </c>
    </row>
    <row r="23" spans="1:11" x14ac:dyDescent="0.2">
      <c r="A23" s="47">
        <v>20</v>
      </c>
      <c r="B23" s="48">
        <v>0</v>
      </c>
      <c r="C23" s="48">
        <v>0</v>
      </c>
      <c r="D23" s="48">
        <v>1</v>
      </c>
      <c r="E23" s="48">
        <v>0</v>
      </c>
      <c r="F23" s="51">
        <f t="shared" si="0"/>
        <v>1</v>
      </c>
      <c r="J23" s="48">
        <v>20</v>
      </c>
      <c r="K23" s="51">
        <f t="shared" si="1"/>
        <v>1</v>
      </c>
    </row>
    <row r="24" spans="1:11" x14ac:dyDescent="0.2">
      <c r="A24" s="48" t="s">
        <v>62</v>
      </c>
      <c r="B24" s="48">
        <f>SUM(B4:B23)</f>
        <v>50</v>
      </c>
      <c r="C24" s="48">
        <f>SUM(C4:C23)</f>
        <v>50</v>
      </c>
      <c r="D24" s="48">
        <f>SUM(D4:D23)</f>
        <v>50</v>
      </c>
      <c r="E24" s="48">
        <f>SUM(E4:E23)</f>
        <v>150</v>
      </c>
      <c r="F24" s="51">
        <f t="shared" si="0"/>
        <v>300</v>
      </c>
    </row>
    <row r="25" spans="1:11" x14ac:dyDescent="0.2">
      <c r="A25" s="48" t="s">
        <v>63</v>
      </c>
      <c r="B25" s="48">
        <v>5</v>
      </c>
      <c r="C25" s="48">
        <v>5</v>
      </c>
      <c r="D25" s="48">
        <v>2</v>
      </c>
      <c r="E25" s="48">
        <v>2</v>
      </c>
      <c r="F25" s="48"/>
    </row>
    <row r="26" spans="1:11" x14ac:dyDescent="0.2">
      <c r="A26" s="48" t="s">
        <v>64</v>
      </c>
      <c r="B26" s="48">
        <f>B24*B25</f>
        <v>250</v>
      </c>
      <c r="C26" s="48">
        <f>C24*C25</f>
        <v>250</v>
      </c>
      <c r="D26" s="48">
        <f>D24*D25</f>
        <v>100</v>
      </c>
      <c r="E26" s="48">
        <f>E24*E25</f>
        <v>300</v>
      </c>
      <c r="F26" s="4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99"/>
  <sheetViews>
    <sheetView tabSelected="1" zoomScale="59" zoomScaleNormal="59" workbookViewId="0">
      <selection activeCell="AB15" sqref="AB15"/>
    </sheetView>
  </sheetViews>
  <sheetFormatPr baseColWidth="10" defaultColWidth="8.83203125" defaultRowHeight="15" x14ac:dyDescent="0.2"/>
  <cols>
    <col min="1" max="1" width="10.1640625" customWidth="1"/>
    <col min="2" max="2" width="9.33203125" customWidth="1"/>
    <col min="7" max="7" width="9.83203125" customWidth="1"/>
    <col min="11" max="11" width="12.1640625" customWidth="1"/>
    <col min="12" max="12" width="9.83203125" customWidth="1"/>
    <col min="13" max="13" width="15.5" customWidth="1"/>
    <col min="15" max="15" width="15.1640625" customWidth="1"/>
    <col min="16" max="16" width="12.1640625" customWidth="1"/>
    <col min="17" max="17" width="10.83203125" customWidth="1"/>
    <col min="18" max="18" width="12.1640625" customWidth="1"/>
    <col min="20" max="20" width="11.83203125" customWidth="1"/>
    <col min="21" max="21" width="10.5" customWidth="1"/>
    <col min="22" max="22" width="11" customWidth="1"/>
    <col min="23" max="24" width="10.6640625" customWidth="1"/>
    <col min="25" max="25" width="10.83203125" customWidth="1"/>
    <col min="26" max="26" width="16" customWidth="1"/>
    <col min="27" max="27" width="13.5" customWidth="1"/>
    <col min="28" max="28" width="13.83203125" customWidth="1"/>
    <col min="32" max="32" width="12.5" customWidth="1"/>
    <col min="33" max="33" width="14.5" customWidth="1"/>
    <col min="34" max="34" width="13.1640625" customWidth="1"/>
    <col min="37" max="37" width="13.1640625" customWidth="1"/>
  </cols>
  <sheetData>
    <row r="1" spans="1:37" x14ac:dyDescent="0.2">
      <c r="A1" s="20" t="s">
        <v>5</v>
      </c>
      <c r="B1" s="20"/>
      <c r="C1" s="22" t="s">
        <v>1</v>
      </c>
      <c r="D1" s="23"/>
      <c r="E1" s="23"/>
      <c r="F1" s="24"/>
      <c r="G1" s="20"/>
      <c r="H1" s="22" t="s">
        <v>2</v>
      </c>
      <c r="I1" s="23"/>
      <c r="J1" s="23"/>
      <c r="K1" s="24"/>
      <c r="L1" s="20"/>
      <c r="M1" s="22" t="s">
        <v>3</v>
      </c>
      <c r="N1" s="23"/>
      <c r="O1" s="23"/>
      <c r="P1" s="24"/>
      <c r="Q1" s="20"/>
      <c r="R1" s="22" t="s">
        <v>4</v>
      </c>
      <c r="S1" s="23"/>
      <c r="T1" s="23"/>
      <c r="U1" s="24"/>
      <c r="V1" s="20"/>
      <c r="W1" s="52" t="s">
        <v>13</v>
      </c>
      <c r="X1" s="53"/>
      <c r="Y1" s="28"/>
      <c r="Z1" s="29"/>
    </row>
    <row r="2" spans="1:37" x14ac:dyDescent="0.2">
      <c r="A2" s="37" t="s">
        <v>56</v>
      </c>
      <c r="B2" s="18"/>
      <c r="C2" s="16">
        <v>7</v>
      </c>
      <c r="D2" s="18"/>
      <c r="E2" s="18" t="s">
        <v>31</v>
      </c>
      <c r="F2" s="17"/>
      <c r="G2" s="18"/>
      <c r="H2" s="16">
        <v>1</v>
      </c>
      <c r="I2" s="18"/>
      <c r="J2" s="18" t="s">
        <v>31</v>
      </c>
      <c r="K2" s="17"/>
      <c r="L2" s="18"/>
      <c r="M2" s="16">
        <v>7</v>
      </c>
      <c r="N2" s="18"/>
      <c r="O2" s="18" t="s">
        <v>31</v>
      </c>
      <c r="P2" s="17"/>
      <c r="Q2" s="18"/>
      <c r="R2" s="16">
        <v>1</v>
      </c>
      <c r="S2" s="18"/>
      <c r="T2" s="18" t="s">
        <v>31</v>
      </c>
      <c r="U2" s="17"/>
      <c r="V2" s="18"/>
      <c r="W2" s="16"/>
      <c r="X2" s="18"/>
      <c r="Y2" s="18"/>
      <c r="Z2" s="17"/>
    </row>
    <row r="3" spans="1:37" x14ac:dyDescent="0.2">
      <c r="A3" s="38" t="s">
        <v>6</v>
      </c>
      <c r="B3" s="5"/>
      <c r="C3" s="4">
        <f>AF4</f>
        <v>5</v>
      </c>
      <c r="D3" s="5"/>
      <c r="E3" s="5">
        <f>AB4</f>
        <v>2</v>
      </c>
      <c r="F3" s="6"/>
      <c r="G3" s="5"/>
      <c r="H3" s="4">
        <f>AG4</f>
        <v>5</v>
      </c>
      <c r="I3" s="5"/>
      <c r="J3" s="5">
        <f>AC4</f>
        <v>4</v>
      </c>
      <c r="K3" s="6"/>
      <c r="L3" s="5"/>
      <c r="M3" s="4">
        <f>AH4</f>
        <v>2</v>
      </c>
      <c r="N3" s="5"/>
      <c r="O3" s="5">
        <f>AD4</f>
        <v>1</v>
      </c>
      <c r="P3" s="6"/>
      <c r="Q3" s="5"/>
      <c r="R3" s="4">
        <f>AI4</f>
        <v>2</v>
      </c>
      <c r="S3" s="5"/>
      <c r="T3" s="5">
        <f>AE4</f>
        <v>3</v>
      </c>
      <c r="U3" s="6"/>
      <c r="V3" s="5"/>
      <c r="W3" s="4"/>
      <c r="X3" s="5"/>
      <c r="Y3" s="5"/>
      <c r="Z3" s="6"/>
      <c r="AB3" s="62" t="s">
        <v>46</v>
      </c>
      <c r="AC3" s="63"/>
      <c r="AD3" s="63"/>
      <c r="AE3" s="63"/>
      <c r="AF3" s="63"/>
      <c r="AG3" s="40"/>
      <c r="AH3" s="40"/>
      <c r="AI3" s="40"/>
      <c r="AJ3" s="40"/>
      <c r="AK3" s="41"/>
    </row>
    <row r="4" spans="1:37" x14ac:dyDescent="0.2">
      <c r="A4" s="21" t="s">
        <v>0</v>
      </c>
      <c r="B4" s="1"/>
      <c r="C4" s="4" t="s">
        <v>7</v>
      </c>
      <c r="D4" s="5" t="s">
        <v>9</v>
      </c>
      <c r="E4" s="5" t="s">
        <v>10</v>
      </c>
      <c r="F4" s="6" t="s">
        <v>8</v>
      </c>
      <c r="H4" s="4" t="s">
        <v>7</v>
      </c>
      <c r="I4" s="5" t="s">
        <v>9</v>
      </c>
      <c r="J4" s="5" t="s">
        <v>10</v>
      </c>
      <c r="K4" s="6" t="s">
        <v>8</v>
      </c>
      <c r="M4" s="4" t="s">
        <v>7</v>
      </c>
      <c r="N4" s="5" t="s">
        <v>9</v>
      </c>
      <c r="O4" s="5" t="s">
        <v>10</v>
      </c>
      <c r="P4" s="6" t="s">
        <v>8</v>
      </c>
      <c r="R4" s="4" t="s">
        <v>7</v>
      </c>
      <c r="S4" s="5" t="s">
        <v>9</v>
      </c>
      <c r="T4" s="5" t="s">
        <v>10</v>
      </c>
      <c r="U4" s="6" t="s">
        <v>8</v>
      </c>
      <c r="W4" s="25" t="s">
        <v>14</v>
      </c>
      <c r="X4" s="26" t="s">
        <v>15</v>
      </c>
      <c r="Y4" s="5"/>
      <c r="Z4" s="27" t="s">
        <v>16</v>
      </c>
      <c r="AB4" s="16">
        <v>2</v>
      </c>
      <c r="AC4" s="18">
        <v>4</v>
      </c>
      <c r="AD4" s="18">
        <v>1</v>
      </c>
      <c r="AE4" s="18">
        <v>3</v>
      </c>
      <c r="AF4" s="18">
        <v>5</v>
      </c>
      <c r="AG4" s="18">
        <v>5</v>
      </c>
      <c r="AH4" s="18">
        <v>2</v>
      </c>
      <c r="AI4" s="18">
        <v>2</v>
      </c>
      <c r="AJ4" s="18"/>
      <c r="AK4" s="17"/>
    </row>
    <row r="5" spans="1:37" x14ac:dyDescent="0.2">
      <c r="A5" s="2">
        <v>1</v>
      </c>
      <c r="C5" s="4">
        <f>AB5</f>
        <v>17</v>
      </c>
      <c r="D5" s="5">
        <f>AH5</f>
        <v>0</v>
      </c>
      <c r="E5" s="5">
        <f>C5-D5</f>
        <v>17</v>
      </c>
      <c r="F5" s="6">
        <f>SUM($E$5:E5)</f>
        <v>17</v>
      </c>
      <c r="H5" s="4">
        <f>AC5</f>
        <v>15</v>
      </c>
      <c r="I5" s="5">
        <f>AI5</f>
        <v>0</v>
      </c>
      <c r="J5" s="5">
        <f>H5-I5</f>
        <v>15</v>
      </c>
      <c r="K5" s="6">
        <f>SUM($J$5:J5)</f>
        <v>15</v>
      </c>
      <c r="M5" s="4">
        <f>AD5</f>
        <v>14</v>
      </c>
      <c r="N5" s="5">
        <f>AJ5</f>
        <v>12</v>
      </c>
      <c r="O5" s="5">
        <f>M5-N5</f>
        <v>2</v>
      </c>
      <c r="P5" s="6">
        <f>SUM($O$5:O5)</f>
        <v>2</v>
      </c>
      <c r="R5" s="4">
        <f>AE5</f>
        <v>44</v>
      </c>
      <c r="S5" s="5">
        <f>AK5</f>
        <v>0</v>
      </c>
      <c r="T5" s="5">
        <f>R5-S5</f>
        <v>44</v>
      </c>
      <c r="U5" s="6">
        <f>SUM($T$5:T5)</f>
        <v>44</v>
      </c>
      <c r="W5" s="4">
        <f t="shared" ref="W5:W24" si="0">C5+H5+M5+R5</f>
        <v>90</v>
      </c>
      <c r="X5" s="5">
        <f t="shared" ref="X5:X24" si="1">D5+I5+N5+S5</f>
        <v>12</v>
      </c>
      <c r="Y5" s="5"/>
      <c r="Z5" s="6">
        <f>(25*AF5)-(D5*$C$3+I5*$H$3+N5*$M$3+S5*$R$3)</f>
        <v>1</v>
      </c>
      <c r="AB5" s="4">
        <v>17</v>
      </c>
      <c r="AC5" s="5">
        <v>15</v>
      </c>
      <c r="AD5" s="5">
        <v>14</v>
      </c>
      <c r="AE5" s="5">
        <v>44</v>
      </c>
      <c r="AF5" s="5">
        <v>1</v>
      </c>
      <c r="AG5" s="5">
        <v>2</v>
      </c>
      <c r="AH5" s="5">
        <v>0</v>
      </c>
      <c r="AI5" s="5">
        <v>0</v>
      </c>
      <c r="AJ5" s="5">
        <v>12</v>
      </c>
      <c r="AK5" s="6">
        <v>0</v>
      </c>
    </row>
    <row r="6" spans="1:37" x14ac:dyDescent="0.2">
      <c r="A6" s="2">
        <v>2</v>
      </c>
      <c r="C6" s="4">
        <f>AB6</f>
        <v>14</v>
      </c>
      <c r="D6" s="5">
        <f>AH6</f>
        <v>0</v>
      </c>
      <c r="E6" s="5">
        <f t="shared" ref="E6:E24" si="2">C6-D6</f>
        <v>14</v>
      </c>
      <c r="F6" s="6">
        <f>SUM($E$5:E6)</f>
        <v>31</v>
      </c>
      <c r="H6" s="4">
        <f>AC6</f>
        <v>14</v>
      </c>
      <c r="I6" s="5">
        <f>AI6</f>
        <v>0</v>
      </c>
      <c r="J6" s="5">
        <f t="shared" ref="J6:J24" si="3">H6-I6</f>
        <v>14</v>
      </c>
      <c r="K6" s="6">
        <f>SUM($J$5:J6)</f>
        <v>29</v>
      </c>
      <c r="M6" s="4">
        <f>AD6</f>
        <v>14</v>
      </c>
      <c r="N6" s="5">
        <f>AJ6</f>
        <v>12</v>
      </c>
      <c r="O6" s="5">
        <f t="shared" ref="O6:O24" si="4">M6-N6</f>
        <v>2</v>
      </c>
      <c r="P6" s="6">
        <f>SUM($O$5:O6)</f>
        <v>4</v>
      </c>
      <c r="R6" s="4">
        <f>AE6</f>
        <v>27</v>
      </c>
      <c r="S6" s="5">
        <f>AK6</f>
        <v>0</v>
      </c>
      <c r="T6" s="5">
        <f t="shared" ref="T6:T24" si="5">R6-S6</f>
        <v>27</v>
      </c>
      <c r="U6" s="6">
        <f>SUM($T$5:T6)</f>
        <v>71</v>
      </c>
      <c r="W6" s="4">
        <f t="shared" si="0"/>
        <v>69</v>
      </c>
      <c r="X6" s="5">
        <f t="shared" si="1"/>
        <v>12</v>
      </c>
      <c r="Y6" s="5"/>
      <c r="Z6" s="6">
        <f>(25*AF6)-(D6*$C$3+I6*$H$3+N6*$M$3+S6*$R$3)</f>
        <v>1</v>
      </c>
      <c r="AB6" s="4">
        <v>14</v>
      </c>
      <c r="AC6" s="5">
        <v>14</v>
      </c>
      <c r="AD6" s="5">
        <v>14</v>
      </c>
      <c r="AE6" s="5">
        <v>27</v>
      </c>
      <c r="AF6" s="5">
        <v>1</v>
      </c>
      <c r="AG6" s="5">
        <v>2</v>
      </c>
      <c r="AH6" s="5">
        <v>0</v>
      </c>
      <c r="AI6" s="5">
        <v>0</v>
      </c>
      <c r="AJ6" s="5">
        <v>12</v>
      </c>
      <c r="AK6" s="6">
        <v>0</v>
      </c>
    </row>
    <row r="7" spans="1:37" x14ac:dyDescent="0.2">
      <c r="A7" s="2">
        <v>3</v>
      </c>
      <c r="C7" s="4">
        <f>AB7</f>
        <v>10</v>
      </c>
      <c r="D7" s="5">
        <f>AH7</f>
        <v>0</v>
      </c>
      <c r="E7" s="5">
        <f t="shared" si="2"/>
        <v>10</v>
      </c>
      <c r="F7" s="6">
        <f>SUM($E$5:E7)</f>
        <v>41</v>
      </c>
      <c r="H7" s="4">
        <f>AC7</f>
        <v>7</v>
      </c>
      <c r="I7" s="5">
        <f>AI7</f>
        <v>0</v>
      </c>
      <c r="J7" s="5">
        <f t="shared" si="3"/>
        <v>7</v>
      </c>
      <c r="K7" s="6">
        <f>SUM($J$5:J7)</f>
        <v>36</v>
      </c>
      <c r="M7" s="4">
        <f>AD7</f>
        <v>9</v>
      </c>
      <c r="N7" s="5">
        <f>AJ7</f>
        <v>12</v>
      </c>
      <c r="O7" s="5">
        <f t="shared" si="4"/>
        <v>-3</v>
      </c>
      <c r="P7" s="6">
        <f>SUM($O$5:O7)</f>
        <v>1</v>
      </c>
      <c r="R7" s="4">
        <f>AE7</f>
        <v>24</v>
      </c>
      <c r="S7" s="5">
        <f>AK7</f>
        <v>0</v>
      </c>
      <c r="T7" s="5">
        <f t="shared" si="5"/>
        <v>24</v>
      </c>
      <c r="U7" s="6">
        <f>SUM($T$5:T7)</f>
        <v>95</v>
      </c>
      <c r="W7" s="4">
        <f t="shared" si="0"/>
        <v>50</v>
      </c>
      <c r="X7" s="5">
        <f t="shared" si="1"/>
        <v>12</v>
      </c>
      <c r="Y7" s="5"/>
      <c r="Z7" s="6">
        <f>(25*AF7)-(D7*$C$3+I7*$H$3+N7*$M$3+S7*$R$3)</f>
        <v>1</v>
      </c>
      <c r="AB7" s="4">
        <v>10</v>
      </c>
      <c r="AC7" s="5">
        <v>7</v>
      </c>
      <c r="AD7" s="5">
        <v>9</v>
      </c>
      <c r="AE7" s="5">
        <v>24</v>
      </c>
      <c r="AF7" s="5">
        <v>1</v>
      </c>
      <c r="AG7" s="5">
        <v>2</v>
      </c>
      <c r="AH7" s="5">
        <v>0</v>
      </c>
      <c r="AI7" s="5">
        <v>0</v>
      </c>
      <c r="AJ7" s="5">
        <v>12</v>
      </c>
      <c r="AK7" s="6">
        <v>0</v>
      </c>
    </row>
    <row r="8" spans="1:37" x14ac:dyDescent="0.2">
      <c r="A8" s="2">
        <v>4</v>
      </c>
      <c r="C8" s="4">
        <f>AB8</f>
        <v>6</v>
      </c>
      <c r="D8" s="5">
        <f>AH8</f>
        <v>3</v>
      </c>
      <c r="E8" s="5">
        <f t="shared" si="2"/>
        <v>3</v>
      </c>
      <c r="F8" s="6">
        <f>SUM($E$5:E8)</f>
        <v>44</v>
      </c>
      <c r="H8" s="4">
        <f>AC8</f>
        <v>4</v>
      </c>
      <c r="I8" s="5">
        <f>AI8</f>
        <v>0</v>
      </c>
      <c r="J8" s="5">
        <f t="shared" si="3"/>
        <v>4</v>
      </c>
      <c r="K8" s="6">
        <f>SUM($J$5:J8)</f>
        <v>40</v>
      </c>
      <c r="M8" s="4">
        <f>AD8</f>
        <v>4</v>
      </c>
      <c r="N8" s="5">
        <f>AJ8</f>
        <v>5</v>
      </c>
      <c r="O8" s="5">
        <f t="shared" si="4"/>
        <v>-1</v>
      </c>
      <c r="P8" s="6">
        <f>SUM($O$5:O8)</f>
        <v>0</v>
      </c>
      <c r="R8" s="4">
        <f>AE8</f>
        <v>25</v>
      </c>
      <c r="S8" s="5">
        <f>AK8</f>
        <v>0</v>
      </c>
      <c r="T8" s="5">
        <f t="shared" si="5"/>
        <v>25</v>
      </c>
      <c r="U8" s="6">
        <f>SUM($T$5:T8)</f>
        <v>120</v>
      </c>
      <c r="W8" s="4">
        <f t="shared" si="0"/>
        <v>39</v>
      </c>
      <c r="X8" s="5">
        <f t="shared" si="1"/>
        <v>8</v>
      </c>
      <c r="Y8" s="5"/>
      <c r="Z8" s="6">
        <f>(25*AF8)-(D8*$C$3+I8*$H$3+N8*$M$3+S8*$R$3)</f>
        <v>0</v>
      </c>
      <c r="AB8" s="4">
        <v>6</v>
      </c>
      <c r="AC8" s="5">
        <v>4</v>
      </c>
      <c r="AD8" s="5">
        <v>4</v>
      </c>
      <c r="AE8" s="5">
        <v>25</v>
      </c>
      <c r="AF8" s="5">
        <v>1</v>
      </c>
      <c r="AG8" s="5">
        <v>2</v>
      </c>
      <c r="AH8" s="5">
        <v>3</v>
      </c>
      <c r="AI8" s="5">
        <v>0</v>
      </c>
      <c r="AJ8" s="5">
        <v>5</v>
      </c>
      <c r="AK8" s="6">
        <v>0</v>
      </c>
    </row>
    <row r="9" spans="1:37" x14ac:dyDescent="0.2">
      <c r="A9" s="2">
        <v>5</v>
      </c>
      <c r="C9" s="4">
        <f>AB9</f>
        <v>3</v>
      </c>
      <c r="D9" s="5">
        <f>AH9</f>
        <v>8</v>
      </c>
      <c r="E9" s="5">
        <f t="shared" si="2"/>
        <v>-5</v>
      </c>
      <c r="F9" s="6">
        <f>SUM($E$5:E9)</f>
        <v>39</v>
      </c>
      <c r="H9" s="4">
        <f>AC9</f>
        <v>1</v>
      </c>
      <c r="I9" s="5">
        <f>AI9</f>
        <v>0</v>
      </c>
      <c r="J9" s="5">
        <f t="shared" si="3"/>
        <v>1</v>
      </c>
      <c r="K9" s="6">
        <f>SUM($J$5:J9)</f>
        <v>41</v>
      </c>
      <c r="M9" s="4">
        <f>AD9</f>
        <v>3</v>
      </c>
      <c r="N9" s="5">
        <f>AJ9</f>
        <v>3</v>
      </c>
      <c r="O9" s="5">
        <f t="shared" si="4"/>
        <v>0</v>
      </c>
      <c r="P9" s="6">
        <f>SUM($O$5:O9)</f>
        <v>0</v>
      </c>
      <c r="R9" s="4">
        <f>AE9</f>
        <v>9</v>
      </c>
      <c r="S9" s="5">
        <f>AK9</f>
        <v>2</v>
      </c>
      <c r="T9" s="5">
        <f t="shared" si="5"/>
        <v>7</v>
      </c>
      <c r="U9" s="6">
        <f>SUM($T$5:T9)</f>
        <v>127</v>
      </c>
      <c r="W9" s="4">
        <f t="shared" si="0"/>
        <v>16</v>
      </c>
      <c r="X9" s="5">
        <f t="shared" si="1"/>
        <v>13</v>
      </c>
      <c r="Y9" s="5"/>
      <c r="Z9" s="6">
        <f>(25*AF9)-(D9*$C$3+I9*$H$3+N9*$M$3+S9*$R$3)</f>
        <v>0</v>
      </c>
      <c r="AB9" s="4">
        <v>3</v>
      </c>
      <c r="AC9" s="5">
        <v>1</v>
      </c>
      <c r="AD9" s="5">
        <v>3</v>
      </c>
      <c r="AE9" s="5">
        <v>9</v>
      </c>
      <c r="AF9" s="5">
        <v>2</v>
      </c>
      <c r="AG9" s="5">
        <v>1</v>
      </c>
      <c r="AH9" s="5">
        <v>8</v>
      </c>
      <c r="AI9" s="5">
        <v>0</v>
      </c>
      <c r="AJ9" s="5">
        <v>3</v>
      </c>
      <c r="AK9" s="6">
        <v>2</v>
      </c>
    </row>
    <row r="10" spans="1:37" x14ac:dyDescent="0.2">
      <c r="A10" s="2">
        <v>6</v>
      </c>
      <c r="C10" s="4">
        <f>AB10</f>
        <v>0</v>
      </c>
      <c r="D10" s="5">
        <f>AH10</f>
        <v>8</v>
      </c>
      <c r="E10" s="5">
        <f t="shared" si="2"/>
        <v>-8</v>
      </c>
      <c r="F10" s="6">
        <f>SUM($E$5:E10)</f>
        <v>31</v>
      </c>
      <c r="H10" s="4">
        <f>AC10</f>
        <v>2</v>
      </c>
      <c r="I10" s="5">
        <f>AI10</f>
        <v>0</v>
      </c>
      <c r="J10" s="5">
        <f t="shared" si="3"/>
        <v>2</v>
      </c>
      <c r="K10" s="6">
        <f>SUM($J$5:J10)</f>
        <v>43</v>
      </c>
      <c r="M10" s="4">
        <f>AD10</f>
        <v>3</v>
      </c>
      <c r="N10" s="5">
        <f>AJ10</f>
        <v>3</v>
      </c>
      <c r="O10" s="5">
        <f t="shared" si="4"/>
        <v>0</v>
      </c>
      <c r="P10" s="6">
        <f>SUM($O$5:O10)</f>
        <v>0</v>
      </c>
      <c r="R10" s="4">
        <f>AE10</f>
        <v>5</v>
      </c>
      <c r="S10" s="5">
        <f>AK10</f>
        <v>2</v>
      </c>
      <c r="T10" s="5">
        <f t="shared" si="5"/>
        <v>3</v>
      </c>
      <c r="U10" s="6">
        <f>SUM($T$5:T10)</f>
        <v>130</v>
      </c>
      <c r="W10" s="4">
        <f t="shared" si="0"/>
        <v>10</v>
      </c>
      <c r="X10" s="5">
        <f t="shared" si="1"/>
        <v>13</v>
      </c>
      <c r="Y10" s="5"/>
      <c r="Z10" s="6">
        <f>(25*AF10)-(D10*$C$3+I10*$H$3+N10*$M$3+S10*$R$3)</f>
        <v>0</v>
      </c>
      <c r="AB10" s="4">
        <v>0</v>
      </c>
      <c r="AC10" s="5">
        <v>2</v>
      </c>
      <c r="AD10" s="5">
        <v>3</v>
      </c>
      <c r="AE10" s="5">
        <v>5</v>
      </c>
      <c r="AF10" s="5">
        <v>2</v>
      </c>
      <c r="AG10" s="5">
        <v>1</v>
      </c>
      <c r="AH10" s="5">
        <v>8</v>
      </c>
      <c r="AI10" s="5">
        <v>0</v>
      </c>
      <c r="AJ10" s="5">
        <v>3</v>
      </c>
      <c r="AK10" s="6">
        <v>2</v>
      </c>
    </row>
    <row r="11" spans="1:37" x14ac:dyDescent="0.2">
      <c r="A11" s="2">
        <v>7</v>
      </c>
      <c r="C11" s="4">
        <f>AB11</f>
        <v>1</v>
      </c>
      <c r="D11" s="5">
        <f>AH11</f>
        <v>9</v>
      </c>
      <c r="E11" s="5">
        <f t="shared" si="2"/>
        <v>-8</v>
      </c>
      <c r="F11" s="6">
        <f>SUM($E$5:E11)</f>
        <v>23</v>
      </c>
      <c r="H11" s="4">
        <f>AC11</f>
        <v>1</v>
      </c>
      <c r="I11" s="5">
        <f>AI11</f>
        <v>0</v>
      </c>
      <c r="J11" s="5">
        <f t="shared" si="3"/>
        <v>1</v>
      </c>
      <c r="K11" s="6">
        <f>SUM($J$5:J11)</f>
        <v>44</v>
      </c>
      <c r="M11" s="4">
        <f>AD11</f>
        <v>1</v>
      </c>
      <c r="N11" s="5">
        <f>AJ11</f>
        <v>1</v>
      </c>
      <c r="O11" s="5">
        <f t="shared" si="4"/>
        <v>0</v>
      </c>
      <c r="P11" s="6">
        <f>SUM($O$5:O11)</f>
        <v>0</v>
      </c>
      <c r="R11" s="4">
        <f>AE11</f>
        <v>5</v>
      </c>
      <c r="S11" s="5">
        <f>AK11</f>
        <v>1</v>
      </c>
      <c r="T11" s="5">
        <f t="shared" si="5"/>
        <v>4</v>
      </c>
      <c r="U11" s="6">
        <f>SUM($T$5:T11)</f>
        <v>134</v>
      </c>
      <c r="W11" s="4">
        <f t="shared" si="0"/>
        <v>8</v>
      </c>
      <c r="X11" s="5">
        <f t="shared" si="1"/>
        <v>11</v>
      </c>
      <c r="Y11" s="5"/>
      <c r="Z11" s="6">
        <f>(25*AF11)-(D11*$C$3+I11*$H$3+N11*$M$3+S11*$R$3)</f>
        <v>1</v>
      </c>
      <c r="AB11" s="4">
        <v>1</v>
      </c>
      <c r="AC11" s="5">
        <v>1</v>
      </c>
      <c r="AD11" s="5">
        <v>1</v>
      </c>
      <c r="AE11" s="5">
        <v>5</v>
      </c>
      <c r="AF11" s="5">
        <v>2</v>
      </c>
      <c r="AG11" s="5">
        <v>1</v>
      </c>
      <c r="AH11" s="5">
        <v>9</v>
      </c>
      <c r="AI11" s="5">
        <v>0</v>
      </c>
      <c r="AJ11" s="5">
        <v>1</v>
      </c>
      <c r="AK11" s="6">
        <v>1</v>
      </c>
    </row>
    <row r="12" spans="1:37" x14ac:dyDescent="0.2">
      <c r="A12" s="2">
        <v>8</v>
      </c>
      <c r="C12" s="4">
        <f>AB12</f>
        <v>2</v>
      </c>
      <c r="D12" s="5">
        <f>AH12</f>
        <v>8</v>
      </c>
      <c r="E12" s="5">
        <f t="shared" si="2"/>
        <v>-6</v>
      </c>
      <c r="F12" s="6">
        <f>SUM($E$5:E12)</f>
        <v>17</v>
      </c>
      <c r="H12" s="4">
        <f>AC12</f>
        <v>0</v>
      </c>
      <c r="I12" s="5">
        <f>AI12</f>
        <v>0</v>
      </c>
      <c r="J12" s="5">
        <f t="shared" si="3"/>
        <v>0</v>
      </c>
      <c r="K12" s="6">
        <f>SUM($J$5:J12)</f>
        <v>44</v>
      </c>
      <c r="M12" s="4">
        <f>AD12</f>
        <v>3</v>
      </c>
      <c r="N12" s="5">
        <f>AJ12</f>
        <v>3</v>
      </c>
      <c r="O12" s="5">
        <f t="shared" si="4"/>
        <v>0</v>
      </c>
      <c r="P12" s="6">
        <f>SUM($O$5:O12)</f>
        <v>0</v>
      </c>
      <c r="R12" s="4">
        <f>AE12</f>
        <v>2</v>
      </c>
      <c r="S12" s="5">
        <f>AK12</f>
        <v>2</v>
      </c>
      <c r="T12" s="5">
        <f t="shared" si="5"/>
        <v>0</v>
      </c>
      <c r="U12" s="6">
        <f>SUM($T$5:T12)</f>
        <v>134</v>
      </c>
      <c r="W12" s="4">
        <f t="shared" si="0"/>
        <v>7</v>
      </c>
      <c r="X12" s="5">
        <f t="shared" si="1"/>
        <v>13</v>
      </c>
      <c r="Y12" s="5"/>
      <c r="Z12" s="6">
        <f>(25*AF12)-(D12*$C$3+I12*$H$3+N12*$M$3+S12*$R$3)</f>
        <v>0</v>
      </c>
      <c r="AB12" s="4">
        <v>2</v>
      </c>
      <c r="AC12" s="5">
        <v>0</v>
      </c>
      <c r="AD12" s="5">
        <v>3</v>
      </c>
      <c r="AE12" s="5">
        <v>2</v>
      </c>
      <c r="AF12" s="5">
        <v>2</v>
      </c>
      <c r="AG12" s="5">
        <v>1</v>
      </c>
      <c r="AH12" s="5">
        <v>8</v>
      </c>
      <c r="AI12" s="5">
        <v>0</v>
      </c>
      <c r="AJ12" s="5">
        <v>3</v>
      </c>
      <c r="AK12" s="6">
        <v>2</v>
      </c>
    </row>
    <row r="13" spans="1:37" x14ac:dyDescent="0.2">
      <c r="A13" s="2">
        <v>9</v>
      </c>
      <c r="C13" s="4">
        <f>AB13</f>
        <v>2</v>
      </c>
      <c r="D13" s="5">
        <f>AH13</f>
        <v>9</v>
      </c>
      <c r="E13" s="5">
        <f t="shared" si="2"/>
        <v>-7</v>
      </c>
      <c r="F13" s="6">
        <f>SUM($E$5:E13)</f>
        <v>10</v>
      </c>
      <c r="H13" s="4">
        <f>AC13</f>
        <v>1</v>
      </c>
      <c r="I13" s="5">
        <f>AI13</f>
        <v>0</v>
      </c>
      <c r="J13" s="5">
        <f t="shared" si="3"/>
        <v>1</v>
      </c>
      <c r="K13" s="6">
        <f>SUM($J$5:J13)</f>
        <v>45</v>
      </c>
      <c r="M13" s="4">
        <f>AD13</f>
        <v>2</v>
      </c>
      <c r="N13" s="5">
        <f>AJ13</f>
        <v>2</v>
      </c>
      <c r="O13" s="5">
        <f t="shared" si="4"/>
        <v>0</v>
      </c>
      <c r="P13" s="6">
        <f>SUM($O$5:O13)</f>
        <v>0</v>
      </c>
      <c r="R13" s="4">
        <f>AE13</f>
        <v>2</v>
      </c>
      <c r="S13" s="5">
        <f>AK13</f>
        <v>0</v>
      </c>
      <c r="T13" s="5">
        <f t="shared" si="5"/>
        <v>2</v>
      </c>
      <c r="U13" s="6">
        <f>SUM($T$5:T13)</f>
        <v>136</v>
      </c>
      <c r="W13" s="4">
        <f t="shared" si="0"/>
        <v>7</v>
      </c>
      <c r="X13" s="5">
        <f t="shared" si="1"/>
        <v>11</v>
      </c>
      <c r="Y13" s="5"/>
      <c r="Z13" s="6">
        <f>(25*AF13)-(D13*$C$3+I13*$H$3+N13*$M$3+S13*$R$3)</f>
        <v>1</v>
      </c>
      <c r="AB13" s="4">
        <v>2</v>
      </c>
      <c r="AC13" s="5">
        <v>1</v>
      </c>
      <c r="AD13" s="5">
        <v>2</v>
      </c>
      <c r="AE13" s="5">
        <v>2</v>
      </c>
      <c r="AF13" s="5">
        <v>2</v>
      </c>
      <c r="AG13" s="5">
        <v>1</v>
      </c>
      <c r="AH13" s="5">
        <v>9</v>
      </c>
      <c r="AI13" s="5">
        <v>0</v>
      </c>
      <c r="AJ13" s="5">
        <v>2</v>
      </c>
      <c r="AK13" s="6">
        <v>0</v>
      </c>
    </row>
    <row r="14" spans="1:37" x14ac:dyDescent="0.2">
      <c r="A14" s="2">
        <v>10</v>
      </c>
      <c r="C14" s="4">
        <f>AB14</f>
        <v>2</v>
      </c>
      <c r="D14" s="5">
        <f>AH14</f>
        <v>8</v>
      </c>
      <c r="E14" s="5">
        <f t="shared" si="2"/>
        <v>-6</v>
      </c>
      <c r="F14" s="6">
        <f>SUM($E$5:E14)</f>
        <v>4</v>
      </c>
      <c r="H14" s="4">
        <f>AC14</f>
        <v>1</v>
      </c>
      <c r="I14" s="5">
        <f>AI14</f>
        <v>0</v>
      </c>
      <c r="J14" s="5">
        <f t="shared" si="3"/>
        <v>1</v>
      </c>
      <c r="K14" s="6">
        <f>SUM($J$5:J14)</f>
        <v>46</v>
      </c>
      <c r="M14" s="4">
        <f>AD14</f>
        <v>3</v>
      </c>
      <c r="N14" s="5">
        <f>AJ14</f>
        <v>3</v>
      </c>
      <c r="O14" s="5">
        <f t="shared" si="4"/>
        <v>0</v>
      </c>
      <c r="P14" s="6">
        <f>SUM($O$5:O14)</f>
        <v>0</v>
      </c>
      <c r="R14" s="4">
        <f>AE14</f>
        <v>2</v>
      </c>
      <c r="S14" s="5">
        <f>AK14</f>
        <v>2</v>
      </c>
      <c r="T14" s="5">
        <f t="shared" si="5"/>
        <v>0</v>
      </c>
      <c r="U14" s="6">
        <f>SUM($T$5:T14)</f>
        <v>136</v>
      </c>
      <c r="W14" s="4">
        <f t="shared" si="0"/>
        <v>8</v>
      </c>
      <c r="X14" s="5">
        <f t="shared" si="1"/>
        <v>13</v>
      </c>
      <c r="Y14" s="5"/>
      <c r="Z14" s="6">
        <f>(25*AF14)-(D14*$C$3+I14*$H$3+N14*$M$3+S14*$R$3)</f>
        <v>0</v>
      </c>
      <c r="AB14" s="4">
        <v>2</v>
      </c>
      <c r="AC14" s="5">
        <v>1</v>
      </c>
      <c r="AD14" s="5">
        <v>3</v>
      </c>
      <c r="AE14" s="5">
        <v>2</v>
      </c>
      <c r="AF14" s="5">
        <v>2</v>
      </c>
      <c r="AG14" s="5">
        <v>1</v>
      </c>
      <c r="AH14" s="5">
        <v>8</v>
      </c>
      <c r="AI14" s="5">
        <v>0</v>
      </c>
      <c r="AJ14" s="5">
        <v>3</v>
      </c>
      <c r="AK14" s="6">
        <v>2</v>
      </c>
    </row>
    <row r="15" spans="1:37" x14ac:dyDescent="0.2">
      <c r="A15" s="2">
        <v>11</v>
      </c>
      <c r="C15" s="4">
        <f>AB15</f>
        <v>1</v>
      </c>
      <c r="D15" s="5">
        <f>AH15</f>
        <v>5</v>
      </c>
      <c r="E15" s="5">
        <f t="shared" si="2"/>
        <v>-4</v>
      </c>
      <c r="F15" s="6">
        <f>SUM($E$5:E15)</f>
        <v>0</v>
      </c>
      <c r="H15" s="4">
        <f>AC15</f>
        <v>1</v>
      </c>
      <c r="I15" s="5">
        <f>AI15</f>
        <v>0</v>
      </c>
      <c r="J15" s="5">
        <f t="shared" si="3"/>
        <v>1</v>
      </c>
      <c r="K15" s="6">
        <f>SUM($J$5:J15)</f>
        <v>47</v>
      </c>
      <c r="M15" s="4">
        <f>AD15</f>
        <v>0</v>
      </c>
      <c r="N15" s="5">
        <f>AJ15</f>
        <v>0</v>
      </c>
      <c r="O15" s="5">
        <f t="shared" si="4"/>
        <v>0</v>
      </c>
      <c r="P15" s="6">
        <f>SUM($O$5:O15)</f>
        <v>0</v>
      </c>
      <c r="R15" s="4">
        <f>AE15</f>
        <v>1</v>
      </c>
      <c r="S15" s="5">
        <f>AK15</f>
        <v>12</v>
      </c>
      <c r="T15" s="5">
        <f t="shared" si="5"/>
        <v>-11</v>
      </c>
      <c r="U15" s="6">
        <f>SUM($T$5:T15)</f>
        <v>125</v>
      </c>
      <c r="W15" s="4">
        <f t="shared" si="0"/>
        <v>3</v>
      </c>
      <c r="X15" s="5">
        <f t="shared" si="1"/>
        <v>17</v>
      </c>
      <c r="Y15" s="5"/>
      <c r="Z15" s="6">
        <f>(25*AF15)-(D15*$C$3+I15*$H$3+N15*$M$3+S15*$R$3)</f>
        <v>1</v>
      </c>
      <c r="AB15" s="4">
        <v>1</v>
      </c>
      <c r="AC15" s="5">
        <v>1</v>
      </c>
      <c r="AD15" s="5">
        <v>0</v>
      </c>
      <c r="AE15" s="5">
        <v>1</v>
      </c>
      <c r="AF15" s="5">
        <v>2</v>
      </c>
      <c r="AG15" s="5">
        <v>1</v>
      </c>
      <c r="AH15" s="5">
        <v>5</v>
      </c>
      <c r="AI15" s="5">
        <v>0</v>
      </c>
      <c r="AJ15" s="5">
        <v>0</v>
      </c>
      <c r="AK15" s="6">
        <v>12</v>
      </c>
    </row>
    <row r="16" spans="1:37" x14ac:dyDescent="0.2">
      <c r="A16" s="2">
        <v>12</v>
      </c>
      <c r="C16" s="4">
        <f>AB16</f>
        <v>0</v>
      </c>
      <c r="D16" s="5">
        <f>AH16</f>
        <v>0</v>
      </c>
      <c r="E16" s="5">
        <f t="shared" si="2"/>
        <v>0</v>
      </c>
      <c r="F16" s="6">
        <f>SUM($E$5:E16)</f>
        <v>0</v>
      </c>
      <c r="H16" s="4">
        <f>AC16</f>
        <v>0</v>
      </c>
      <c r="I16" s="5">
        <f>AI16</f>
        <v>0</v>
      </c>
      <c r="J16" s="5">
        <f t="shared" si="3"/>
        <v>0</v>
      </c>
      <c r="K16" s="6">
        <f>SUM($J$5:J16)</f>
        <v>47</v>
      </c>
      <c r="M16" s="4">
        <f>AD16</f>
        <v>1</v>
      </c>
      <c r="N16" s="5">
        <f>AJ16</f>
        <v>1</v>
      </c>
      <c r="O16" s="5">
        <f t="shared" si="4"/>
        <v>0</v>
      </c>
      <c r="P16" s="6">
        <f>SUM($O$5:O16)</f>
        <v>0</v>
      </c>
      <c r="R16" s="4">
        <f>AE16</f>
        <v>1</v>
      </c>
      <c r="S16" s="5">
        <f>AK16</f>
        <v>24</v>
      </c>
      <c r="T16" s="5">
        <f t="shared" si="5"/>
        <v>-23</v>
      </c>
      <c r="U16" s="6">
        <f>SUM($T$5:T16)</f>
        <v>102</v>
      </c>
      <c r="W16" s="4">
        <f t="shared" si="0"/>
        <v>2</v>
      </c>
      <c r="X16" s="5">
        <f t="shared" si="1"/>
        <v>25</v>
      </c>
      <c r="Y16" s="5"/>
      <c r="Z16" s="6">
        <f>(25*AF16)-(D16*$C$3+I16*$H$3+N16*$M$3+S16*$R$3)</f>
        <v>0</v>
      </c>
      <c r="AB16" s="4">
        <v>0</v>
      </c>
      <c r="AC16" s="5">
        <v>0</v>
      </c>
      <c r="AD16" s="5">
        <v>1</v>
      </c>
      <c r="AE16" s="5">
        <v>1</v>
      </c>
      <c r="AF16" s="5">
        <v>2</v>
      </c>
      <c r="AG16" s="5">
        <v>1</v>
      </c>
      <c r="AH16" s="5">
        <v>0</v>
      </c>
      <c r="AI16" s="5">
        <v>0</v>
      </c>
      <c r="AJ16" s="5">
        <v>1</v>
      </c>
      <c r="AK16" s="6">
        <v>24</v>
      </c>
    </row>
    <row r="17" spans="1:37" x14ac:dyDescent="0.2">
      <c r="A17" s="2">
        <v>13</v>
      </c>
      <c r="C17" s="4">
        <f>AB17</f>
        <v>2</v>
      </c>
      <c r="D17" s="5">
        <f>AH17</f>
        <v>2</v>
      </c>
      <c r="E17" s="5">
        <f t="shared" si="2"/>
        <v>0</v>
      </c>
      <c r="F17" s="6">
        <f>SUM($E$5:E17)</f>
        <v>0</v>
      </c>
      <c r="H17" s="4">
        <f>AC17</f>
        <v>2</v>
      </c>
      <c r="I17" s="5">
        <f>AI17</f>
        <v>0</v>
      </c>
      <c r="J17" s="5">
        <f t="shared" si="3"/>
        <v>2</v>
      </c>
      <c r="K17" s="6">
        <f>SUM($J$5:J17)</f>
        <v>49</v>
      </c>
      <c r="M17" s="4">
        <f>AD17</f>
        <v>0</v>
      </c>
      <c r="N17" s="5">
        <f>AJ17</f>
        <v>0</v>
      </c>
      <c r="O17" s="5">
        <f t="shared" si="4"/>
        <v>0</v>
      </c>
      <c r="P17" s="6">
        <f>SUM($O$5:O17)</f>
        <v>0</v>
      </c>
      <c r="R17" s="4">
        <f>AE17</f>
        <v>0</v>
      </c>
      <c r="S17" s="5">
        <f>AK17</f>
        <v>20</v>
      </c>
      <c r="T17" s="5">
        <f t="shared" si="5"/>
        <v>-20</v>
      </c>
      <c r="U17" s="6">
        <f>SUM($T$5:T17)</f>
        <v>82</v>
      </c>
      <c r="W17" s="4">
        <f t="shared" si="0"/>
        <v>4</v>
      </c>
      <c r="X17" s="5">
        <f t="shared" si="1"/>
        <v>22</v>
      </c>
      <c r="Y17" s="5"/>
      <c r="Z17" s="6">
        <f>(25*AF17)-(D17*$C$3+I17*$H$3+N17*$M$3+S17*$R$3)</f>
        <v>0</v>
      </c>
      <c r="AB17" s="4">
        <v>2</v>
      </c>
      <c r="AC17" s="5">
        <v>2</v>
      </c>
      <c r="AD17" s="5">
        <v>0</v>
      </c>
      <c r="AE17" s="5">
        <v>0</v>
      </c>
      <c r="AF17" s="5">
        <v>2</v>
      </c>
      <c r="AG17" s="5">
        <v>1</v>
      </c>
      <c r="AH17" s="5">
        <v>2</v>
      </c>
      <c r="AI17" s="5">
        <v>0</v>
      </c>
      <c r="AJ17" s="5">
        <v>0</v>
      </c>
      <c r="AK17" s="6">
        <v>20</v>
      </c>
    </row>
    <row r="18" spans="1:37" x14ac:dyDescent="0.2">
      <c r="A18" s="2">
        <v>14</v>
      </c>
      <c r="C18" s="4">
        <f>AB18</f>
        <v>0</v>
      </c>
      <c r="D18" s="5">
        <f>AH18</f>
        <v>0</v>
      </c>
      <c r="E18" s="5">
        <f t="shared" si="2"/>
        <v>0</v>
      </c>
      <c r="F18" s="6">
        <f>SUM($E$5:E18)</f>
        <v>0</v>
      </c>
      <c r="H18" s="4">
        <f>AC18</f>
        <v>1</v>
      </c>
      <c r="I18" s="5">
        <f>AI18</f>
        <v>0</v>
      </c>
      <c r="J18" s="5">
        <f t="shared" si="3"/>
        <v>1</v>
      </c>
      <c r="K18" s="6">
        <f>SUM($J$5:J18)</f>
        <v>50</v>
      </c>
      <c r="M18" s="4">
        <f>AD18</f>
        <v>0</v>
      </c>
      <c r="N18" s="5">
        <f>AJ18</f>
        <v>0</v>
      </c>
      <c r="O18" s="5">
        <f t="shared" si="4"/>
        <v>0</v>
      </c>
      <c r="P18" s="6">
        <f>SUM($O$5:O18)</f>
        <v>0</v>
      </c>
      <c r="R18" s="4">
        <f>AE18</f>
        <v>1</v>
      </c>
      <c r="S18" s="5">
        <f>AK18</f>
        <v>25</v>
      </c>
      <c r="T18" s="5">
        <f t="shared" si="5"/>
        <v>-24</v>
      </c>
      <c r="U18" s="6">
        <f>SUM($T$5:T18)</f>
        <v>58</v>
      </c>
      <c r="W18" s="4">
        <f t="shared" si="0"/>
        <v>2</v>
      </c>
      <c r="X18" s="5">
        <f t="shared" si="1"/>
        <v>25</v>
      </c>
      <c r="Y18" s="5"/>
      <c r="Z18" s="6">
        <f>(25*AF18)-(D18*$C$3+I18*$H$3+N18*$M$3+S18*$R$3)</f>
        <v>0</v>
      </c>
      <c r="AB18" s="4">
        <v>0</v>
      </c>
      <c r="AC18" s="5">
        <v>1</v>
      </c>
      <c r="AD18" s="5">
        <v>0</v>
      </c>
      <c r="AE18" s="5">
        <v>1</v>
      </c>
      <c r="AF18" s="5">
        <v>2</v>
      </c>
      <c r="AG18" s="5">
        <v>1</v>
      </c>
      <c r="AH18" s="5">
        <v>0</v>
      </c>
      <c r="AI18" s="5">
        <v>0</v>
      </c>
      <c r="AJ18" s="5">
        <v>0</v>
      </c>
      <c r="AK18" s="6">
        <v>25</v>
      </c>
    </row>
    <row r="19" spans="1:37" x14ac:dyDescent="0.2">
      <c r="A19" s="2">
        <v>15</v>
      </c>
      <c r="C19" s="4">
        <f>AB19</f>
        <v>1</v>
      </c>
      <c r="D19" s="5">
        <f>AH19</f>
        <v>1</v>
      </c>
      <c r="E19" s="5">
        <f t="shared" si="2"/>
        <v>0</v>
      </c>
      <c r="F19" s="6">
        <f>SUM($E$5:E19)</f>
        <v>0</v>
      </c>
      <c r="H19" s="4">
        <f>AC19</f>
        <v>2</v>
      </c>
      <c r="I19" s="5">
        <f>AI19</f>
        <v>0</v>
      </c>
      <c r="J19" s="5">
        <f t="shared" si="3"/>
        <v>2</v>
      </c>
      <c r="K19" s="6">
        <f>SUM($J$5:J19)</f>
        <v>52</v>
      </c>
      <c r="M19" s="4">
        <f>AD19</f>
        <v>0</v>
      </c>
      <c r="N19" s="5">
        <f>AJ19</f>
        <v>0</v>
      </c>
      <c r="O19" s="5">
        <f t="shared" si="4"/>
        <v>0</v>
      </c>
      <c r="P19" s="6">
        <f>SUM($O$5:O19)</f>
        <v>0</v>
      </c>
      <c r="R19" s="4">
        <f>AE19</f>
        <v>1</v>
      </c>
      <c r="S19" s="5">
        <f>AK19</f>
        <v>22</v>
      </c>
      <c r="T19" s="5">
        <f t="shared" si="5"/>
        <v>-21</v>
      </c>
      <c r="U19" s="6">
        <f>SUM($T$5:T19)</f>
        <v>37</v>
      </c>
      <c r="W19" s="4">
        <f t="shared" si="0"/>
        <v>4</v>
      </c>
      <c r="X19" s="5">
        <f t="shared" si="1"/>
        <v>23</v>
      </c>
      <c r="Y19" s="5"/>
      <c r="Z19" s="6">
        <f>(25*AF19)-(D19*$C$3+I19*$H$3+N19*$M$3+S19*$R$3)</f>
        <v>1</v>
      </c>
      <c r="AB19" s="4">
        <v>1</v>
      </c>
      <c r="AC19" s="5">
        <v>2</v>
      </c>
      <c r="AD19" s="5">
        <v>0</v>
      </c>
      <c r="AE19" s="5">
        <v>1</v>
      </c>
      <c r="AF19" s="5">
        <v>2</v>
      </c>
      <c r="AG19" s="5">
        <v>1</v>
      </c>
      <c r="AH19" s="5">
        <v>1</v>
      </c>
      <c r="AI19" s="5">
        <v>0</v>
      </c>
      <c r="AJ19" s="5">
        <v>0</v>
      </c>
      <c r="AK19" s="6">
        <v>22</v>
      </c>
    </row>
    <row r="20" spans="1:37" x14ac:dyDescent="0.2">
      <c r="A20" s="2">
        <v>16</v>
      </c>
      <c r="C20" s="4">
        <f>AB20</f>
        <v>0</v>
      </c>
      <c r="D20" s="5">
        <f>AH20</f>
        <v>0</v>
      </c>
      <c r="E20" s="5">
        <f t="shared" si="2"/>
        <v>0</v>
      </c>
      <c r="F20" s="6">
        <f>SUM($E$5:E20)</f>
        <v>0</v>
      </c>
      <c r="H20" s="4">
        <f>AC20</f>
        <v>0</v>
      </c>
      <c r="I20" s="5">
        <f>AI20</f>
        <v>0</v>
      </c>
      <c r="J20" s="5">
        <f t="shared" si="3"/>
        <v>0</v>
      </c>
      <c r="K20" s="6">
        <f>SUM($J$5:J20)</f>
        <v>52</v>
      </c>
      <c r="M20" s="4">
        <f>AD20</f>
        <v>1</v>
      </c>
      <c r="N20" s="5">
        <f>AJ20</f>
        <v>1</v>
      </c>
      <c r="O20" s="5">
        <f t="shared" si="4"/>
        <v>0</v>
      </c>
      <c r="P20" s="6">
        <f>SUM($O$5:O20)</f>
        <v>0</v>
      </c>
      <c r="R20" s="4">
        <f>AE20</f>
        <v>0</v>
      </c>
      <c r="S20" s="5">
        <f>AK20</f>
        <v>24</v>
      </c>
      <c r="T20" s="5">
        <f t="shared" si="5"/>
        <v>-24</v>
      </c>
      <c r="U20" s="6">
        <f>SUM($T$5:T20)</f>
        <v>13</v>
      </c>
      <c r="W20" s="4">
        <f t="shared" si="0"/>
        <v>1</v>
      </c>
      <c r="X20" s="5">
        <f t="shared" si="1"/>
        <v>25</v>
      </c>
      <c r="Y20" s="5"/>
      <c r="Z20" s="6">
        <f>(25*AF20)-(D20*$C$3+I20*$H$3+N20*$M$3+S20*$R$3)</f>
        <v>0</v>
      </c>
      <c r="AB20" s="4">
        <v>0</v>
      </c>
      <c r="AC20" s="5">
        <v>0</v>
      </c>
      <c r="AD20" s="5">
        <v>1</v>
      </c>
      <c r="AE20" s="5">
        <v>0</v>
      </c>
      <c r="AF20" s="5">
        <v>2</v>
      </c>
      <c r="AG20" s="5">
        <v>1</v>
      </c>
      <c r="AH20" s="5">
        <v>0</v>
      </c>
      <c r="AI20" s="5">
        <v>0</v>
      </c>
      <c r="AJ20" s="5">
        <v>1</v>
      </c>
      <c r="AK20" s="6">
        <v>24</v>
      </c>
    </row>
    <row r="21" spans="1:37" x14ac:dyDescent="0.2">
      <c r="A21" s="2">
        <v>17</v>
      </c>
      <c r="C21" s="4">
        <f>AB21</f>
        <v>0</v>
      </c>
      <c r="D21" s="5">
        <f>AH21</f>
        <v>0</v>
      </c>
      <c r="E21" s="5">
        <f t="shared" si="2"/>
        <v>0</v>
      </c>
      <c r="F21" s="6">
        <f>SUM($E$5:E21)</f>
        <v>0</v>
      </c>
      <c r="H21" s="4">
        <f>AC21</f>
        <v>0</v>
      </c>
      <c r="I21" s="5">
        <f>AI21</f>
        <v>9</v>
      </c>
      <c r="J21" s="5">
        <f t="shared" si="3"/>
        <v>-9</v>
      </c>
      <c r="K21" s="6">
        <f>SUM($J$5:J21)</f>
        <v>43</v>
      </c>
      <c r="M21" s="4">
        <f>AD21</f>
        <v>0</v>
      </c>
      <c r="N21" s="5">
        <f>AJ21</f>
        <v>0</v>
      </c>
      <c r="O21" s="5">
        <f t="shared" si="4"/>
        <v>0</v>
      </c>
      <c r="P21" s="6">
        <f>SUM($O$5:O21)</f>
        <v>0</v>
      </c>
      <c r="R21" s="4">
        <f>AE21</f>
        <v>0</v>
      </c>
      <c r="S21" s="5">
        <f>AK21</f>
        <v>13</v>
      </c>
      <c r="T21" s="5">
        <f t="shared" si="5"/>
        <v>-13</v>
      </c>
      <c r="U21" s="6">
        <f>SUM($T$5:T21)</f>
        <v>0</v>
      </c>
      <c r="W21" s="4">
        <f t="shared" si="0"/>
        <v>0</v>
      </c>
      <c r="X21" s="5">
        <f t="shared" si="1"/>
        <v>22</v>
      </c>
      <c r="Y21" s="5"/>
      <c r="Z21" s="6">
        <f>(25*AF21)-(D21*$C$3+I21*$H$3+N21*$M$3+S21*$R$3)</f>
        <v>4</v>
      </c>
      <c r="AB21" s="4">
        <v>0</v>
      </c>
      <c r="AC21" s="5">
        <v>0</v>
      </c>
      <c r="AD21" s="5">
        <v>0</v>
      </c>
      <c r="AE21" s="5">
        <v>0</v>
      </c>
      <c r="AF21" s="5">
        <v>3</v>
      </c>
      <c r="AG21" s="5">
        <v>0</v>
      </c>
      <c r="AH21" s="5">
        <v>0</v>
      </c>
      <c r="AI21" s="5">
        <v>9</v>
      </c>
      <c r="AJ21" s="5">
        <v>0</v>
      </c>
      <c r="AK21" s="6">
        <v>13</v>
      </c>
    </row>
    <row r="22" spans="1:37" x14ac:dyDescent="0.2">
      <c r="A22" s="2">
        <v>18</v>
      </c>
      <c r="C22" s="4">
        <f>AB22</f>
        <v>0</v>
      </c>
      <c r="D22" s="5">
        <f>AH22</f>
        <v>0</v>
      </c>
      <c r="E22" s="5">
        <f t="shared" si="2"/>
        <v>0</v>
      </c>
      <c r="F22" s="6">
        <f>SUM($E$5:E22)</f>
        <v>0</v>
      </c>
      <c r="H22" s="4">
        <f>AC22</f>
        <v>0</v>
      </c>
      <c r="I22" s="5">
        <f>AI22</f>
        <v>15</v>
      </c>
      <c r="J22" s="5">
        <f t="shared" si="3"/>
        <v>-15</v>
      </c>
      <c r="K22" s="6">
        <f>SUM($J$5:J22)</f>
        <v>28</v>
      </c>
      <c r="M22" s="4">
        <f>AD22</f>
        <v>0</v>
      </c>
      <c r="N22" s="5">
        <f>AJ22</f>
        <v>0</v>
      </c>
      <c r="O22" s="5">
        <f t="shared" si="4"/>
        <v>0</v>
      </c>
      <c r="P22" s="6">
        <f>SUM($O$5:O22)</f>
        <v>0</v>
      </c>
      <c r="R22" s="4">
        <f>AE22</f>
        <v>0</v>
      </c>
      <c r="S22" s="5">
        <f>AK22</f>
        <v>0</v>
      </c>
      <c r="T22" s="5">
        <f t="shared" si="5"/>
        <v>0</v>
      </c>
      <c r="U22" s="6">
        <f>SUM($T$5:T22)</f>
        <v>0</v>
      </c>
      <c r="W22" s="4">
        <f t="shared" si="0"/>
        <v>0</v>
      </c>
      <c r="X22" s="5">
        <f t="shared" si="1"/>
        <v>15</v>
      </c>
      <c r="Y22" s="5"/>
      <c r="Z22" s="6">
        <f>(25*AF22)-(D22*$C$3+I22*$H$3+N22*$M$3+S22*$R$3)</f>
        <v>0</v>
      </c>
      <c r="AB22" s="4">
        <v>0</v>
      </c>
      <c r="AC22" s="5">
        <v>0</v>
      </c>
      <c r="AD22" s="5">
        <v>0</v>
      </c>
      <c r="AE22" s="5">
        <v>0</v>
      </c>
      <c r="AF22" s="5">
        <v>3</v>
      </c>
      <c r="AG22" s="5">
        <v>0</v>
      </c>
      <c r="AH22" s="5">
        <v>0</v>
      </c>
      <c r="AI22" s="5">
        <v>15</v>
      </c>
      <c r="AJ22" s="5">
        <v>0</v>
      </c>
      <c r="AK22" s="6">
        <v>0</v>
      </c>
    </row>
    <row r="23" spans="1:37" x14ac:dyDescent="0.2">
      <c r="A23" s="2">
        <v>19</v>
      </c>
      <c r="C23" s="4">
        <f>AB23</f>
        <v>0</v>
      </c>
      <c r="D23" s="5">
        <f>AH23</f>
        <v>0</v>
      </c>
      <c r="E23" s="5">
        <f t="shared" si="2"/>
        <v>0</v>
      </c>
      <c r="F23" s="6">
        <f>SUM($E$5:E23)</f>
        <v>0</v>
      </c>
      <c r="H23" s="4">
        <f>AC23</f>
        <v>0</v>
      </c>
      <c r="I23" s="5">
        <f>AI23</f>
        <v>15</v>
      </c>
      <c r="J23" s="5">
        <f t="shared" si="3"/>
        <v>-15</v>
      </c>
      <c r="K23" s="6">
        <f>SUM($J$5:J23)</f>
        <v>13</v>
      </c>
      <c r="M23" s="4">
        <f>AD23</f>
        <v>0</v>
      </c>
      <c r="N23" s="5">
        <f>AJ23</f>
        <v>0</v>
      </c>
      <c r="O23" s="5">
        <f t="shared" si="4"/>
        <v>0</v>
      </c>
      <c r="P23" s="6">
        <f>SUM($O$5:O23)</f>
        <v>0</v>
      </c>
      <c r="R23" s="4">
        <f>AE23</f>
        <v>0</v>
      </c>
      <c r="S23" s="5">
        <f>AK23</f>
        <v>0</v>
      </c>
      <c r="T23" s="5">
        <f t="shared" si="5"/>
        <v>0</v>
      </c>
      <c r="U23" s="6">
        <f>SUM($T$5:T23)</f>
        <v>0</v>
      </c>
      <c r="W23" s="4">
        <f t="shared" si="0"/>
        <v>0</v>
      </c>
      <c r="X23" s="5">
        <f t="shared" si="1"/>
        <v>15</v>
      </c>
      <c r="Y23" s="5"/>
      <c r="Z23" s="6">
        <f>(25*AF23)-(D23*$C$3+I23*$H$3+N23*$M$3+S23*$R$3)</f>
        <v>0</v>
      </c>
      <c r="AB23" s="4">
        <v>0</v>
      </c>
      <c r="AC23" s="5">
        <v>0</v>
      </c>
      <c r="AD23" s="5">
        <v>0</v>
      </c>
      <c r="AE23" s="5">
        <v>0</v>
      </c>
      <c r="AF23" s="5">
        <v>3</v>
      </c>
      <c r="AG23" s="5">
        <v>0</v>
      </c>
      <c r="AH23" s="5">
        <v>0</v>
      </c>
      <c r="AI23" s="5">
        <v>15</v>
      </c>
      <c r="AJ23" s="5">
        <v>0</v>
      </c>
      <c r="AK23" s="6">
        <v>0</v>
      </c>
    </row>
    <row r="24" spans="1:37" x14ac:dyDescent="0.2">
      <c r="A24" s="2">
        <v>20</v>
      </c>
      <c r="C24" s="7">
        <f>AB24</f>
        <v>0</v>
      </c>
      <c r="D24" s="8">
        <f>AH24</f>
        <v>0</v>
      </c>
      <c r="E24" s="8">
        <f t="shared" si="2"/>
        <v>0</v>
      </c>
      <c r="F24" s="9">
        <f>SUM($E$5:E24)</f>
        <v>0</v>
      </c>
      <c r="H24" s="7">
        <f>AC24</f>
        <v>0</v>
      </c>
      <c r="I24" s="8">
        <f>AI24</f>
        <v>13</v>
      </c>
      <c r="J24" s="8">
        <f t="shared" si="3"/>
        <v>-13</v>
      </c>
      <c r="K24" s="9">
        <f>SUM($J$5:J24)</f>
        <v>0</v>
      </c>
      <c r="M24" s="7">
        <f>AD24</f>
        <v>0</v>
      </c>
      <c r="N24" s="8">
        <f>AJ24</f>
        <v>0</v>
      </c>
      <c r="O24" s="8">
        <f t="shared" si="4"/>
        <v>0</v>
      </c>
      <c r="P24" s="9">
        <f>SUM($O$5:O24)</f>
        <v>0</v>
      </c>
      <c r="R24" s="7">
        <f>AE24</f>
        <v>0</v>
      </c>
      <c r="S24" s="8">
        <f>AK24</f>
        <v>0</v>
      </c>
      <c r="T24" s="8">
        <f t="shared" si="5"/>
        <v>0</v>
      </c>
      <c r="U24" s="9">
        <f>SUM($T$5:T24)</f>
        <v>0</v>
      </c>
      <c r="W24" s="7">
        <f t="shared" si="0"/>
        <v>0</v>
      </c>
      <c r="X24" s="8">
        <f t="shared" si="1"/>
        <v>13</v>
      </c>
      <c r="Y24" s="8"/>
      <c r="Z24" s="9">
        <f>(25*AF24)-(D24*$C$3+I24*$H$3+N24*$M$3+S24*$R$3)</f>
        <v>10</v>
      </c>
      <c r="AB24" s="7">
        <v>0</v>
      </c>
      <c r="AC24" s="8">
        <v>0</v>
      </c>
      <c r="AD24" s="8">
        <v>0</v>
      </c>
      <c r="AE24" s="8">
        <v>0</v>
      </c>
      <c r="AF24" s="8">
        <v>3</v>
      </c>
      <c r="AG24" s="8">
        <v>0</v>
      </c>
      <c r="AH24" s="8">
        <v>0</v>
      </c>
      <c r="AI24" s="8">
        <v>13</v>
      </c>
      <c r="AJ24" s="8">
        <v>0</v>
      </c>
      <c r="AK24" s="9">
        <v>0</v>
      </c>
    </row>
    <row r="29" spans="1:37" x14ac:dyDescent="0.2">
      <c r="A29" s="33" t="s">
        <v>47</v>
      </c>
      <c r="B29" s="34"/>
      <c r="C29" s="34"/>
      <c r="D29" s="34"/>
      <c r="E29" s="34"/>
      <c r="F29" s="34"/>
      <c r="G29" s="34"/>
      <c r="H29" s="34"/>
      <c r="I29" s="34"/>
      <c r="J29" s="34"/>
      <c r="K29" s="61"/>
      <c r="L29" s="36"/>
      <c r="M29" s="39" t="s">
        <v>66</v>
      </c>
      <c r="N29" s="40"/>
      <c r="O29" s="41"/>
      <c r="R29" s="39" t="s">
        <v>65</v>
      </c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1"/>
    </row>
    <row r="30" spans="1:37" x14ac:dyDescent="0.2">
      <c r="A30" s="32" t="s">
        <v>55</v>
      </c>
      <c r="B30" s="5" t="s">
        <v>30</v>
      </c>
      <c r="C30" s="6" t="s">
        <v>28</v>
      </c>
      <c r="D30" s="5"/>
      <c r="E30" s="32" t="s">
        <v>53</v>
      </c>
      <c r="F30" s="5" t="s">
        <v>30</v>
      </c>
      <c r="G30" s="6" t="s">
        <v>28</v>
      </c>
      <c r="H30" s="5"/>
      <c r="I30" s="16" t="s">
        <v>54</v>
      </c>
      <c r="J30" s="18" t="s">
        <v>30</v>
      </c>
      <c r="K30" s="17" t="s">
        <v>28</v>
      </c>
      <c r="L30" s="36"/>
      <c r="M30" s="16">
        <v>1</v>
      </c>
      <c r="N30" s="18">
        <v>48</v>
      </c>
      <c r="O30" s="17">
        <f ca="1">$H$75*EXP($I$75*M30)</f>
        <v>50.524734781016875</v>
      </c>
      <c r="R30" s="16"/>
      <c r="S30" s="18">
        <v>2</v>
      </c>
      <c r="T30" s="18">
        <v>3</v>
      </c>
      <c r="U30" s="18">
        <v>4</v>
      </c>
      <c r="V30" s="18">
        <v>5</v>
      </c>
      <c r="W30" s="18">
        <v>6</v>
      </c>
      <c r="X30" s="18">
        <v>7</v>
      </c>
      <c r="Y30" s="18">
        <v>8</v>
      </c>
      <c r="Z30" s="18">
        <v>9</v>
      </c>
      <c r="AA30" s="18">
        <v>10</v>
      </c>
      <c r="AB30" s="18">
        <v>11</v>
      </c>
      <c r="AC30" s="18">
        <v>12</v>
      </c>
      <c r="AD30" s="18">
        <v>13</v>
      </c>
      <c r="AE30" s="18">
        <v>14</v>
      </c>
      <c r="AF30" s="18">
        <v>15</v>
      </c>
      <c r="AG30" s="18">
        <v>16</v>
      </c>
      <c r="AH30" s="18">
        <v>17</v>
      </c>
      <c r="AI30" s="18">
        <v>18</v>
      </c>
      <c r="AJ30" s="18">
        <v>19</v>
      </c>
      <c r="AK30" s="17">
        <v>20</v>
      </c>
    </row>
    <row r="31" spans="1:37" x14ac:dyDescent="0.2">
      <c r="A31" s="4">
        <v>1</v>
      </c>
      <c r="B31" s="5">
        <f>F5*$C$2+K5*$H$2+P5*$M$2+U5*$R$2</f>
        <v>192</v>
      </c>
      <c r="C31" s="6"/>
      <c r="D31" s="5"/>
      <c r="E31" s="4">
        <v>1</v>
      </c>
      <c r="F31" s="5">
        <f>(W5+1)/(X5+1)</f>
        <v>7</v>
      </c>
      <c r="G31" s="6"/>
      <c r="H31" s="5"/>
      <c r="I31" s="4">
        <v>1</v>
      </c>
      <c r="J31" s="5">
        <f>(F5+D5+P5+N5+0.1)/(N5+D5+0.1)</f>
        <v>2.5702479338842976</v>
      </c>
      <c r="K31" s="6"/>
      <c r="L31" s="36"/>
      <c r="M31" s="4">
        <v>2</v>
      </c>
      <c r="N31" s="5">
        <v>42</v>
      </c>
      <c r="O31" s="6">
        <f ca="1">$H$75*EXP($I$75*M31)</f>
        <v>42.265141086397641</v>
      </c>
      <c r="R31" s="4">
        <v>2</v>
      </c>
      <c r="S31" s="5">
        <f>$H$57*EXP($I$57*$R31)</f>
        <v>69.000000000000071</v>
      </c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6"/>
    </row>
    <row r="32" spans="1:37" x14ac:dyDescent="0.2">
      <c r="A32" s="4">
        <v>2</v>
      </c>
      <c r="B32" s="5">
        <f>F6*$C$2+K6*$H$2+P6*$M$2+U6*$R$2</f>
        <v>345</v>
      </c>
      <c r="C32" s="6">
        <f t="shared" ref="C32:C49" si="6">AVERAGE(B31:B33)</f>
        <v>320.66666666666669</v>
      </c>
      <c r="D32" s="5"/>
      <c r="E32" s="4">
        <v>2</v>
      </c>
      <c r="F32" s="5">
        <f>(W6+1)/(X6+1)</f>
        <v>5.384615384615385</v>
      </c>
      <c r="G32" s="6">
        <f t="shared" ref="G32:G49" si="7">AVERAGE(F31:F33)</f>
        <v>5.4358974358974352</v>
      </c>
      <c r="H32" s="5"/>
      <c r="I32" s="4">
        <v>2</v>
      </c>
      <c r="J32" s="5">
        <f>(F6+D6+P6+N6+1)/(N6+D6+1)</f>
        <v>3.6923076923076925</v>
      </c>
      <c r="K32" s="6">
        <f t="shared" ref="K32:K49" si="8">AVERAGEIF(J31:J33,"&gt;0")</f>
        <v>3.4977749523204067</v>
      </c>
      <c r="L32" s="36"/>
      <c r="M32" s="4">
        <v>3</v>
      </c>
      <c r="N32" s="5">
        <v>32</v>
      </c>
      <c r="O32" s="6">
        <f ca="1">$H$75*EXP($I$75*M32)</f>
        <v>35.355794717090944</v>
      </c>
      <c r="R32" s="4">
        <v>3</v>
      </c>
      <c r="S32" s="5">
        <f>$H$57*EXP($I$57*R32)</f>
        <v>52.900000000000063</v>
      </c>
      <c r="T32" s="5">
        <f>$H$58*EXP($I$58*$R32)</f>
        <v>50.472050502257474</v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6"/>
    </row>
    <row r="33" spans="1:37" x14ac:dyDescent="0.2">
      <c r="A33" s="4">
        <v>3</v>
      </c>
      <c r="B33" s="5">
        <f>F7*$C$2+K7*$H$2+P7*$M$2+U7*$R$2</f>
        <v>425</v>
      </c>
      <c r="C33" s="6">
        <f t="shared" si="6"/>
        <v>412.66666666666669</v>
      </c>
      <c r="D33" s="5"/>
      <c r="E33" s="4">
        <v>3</v>
      </c>
      <c r="F33" s="5">
        <f>(W7+1)/(X7+1)</f>
        <v>3.9230769230769229</v>
      </c>
      <c r="G33" s="6">
        <f t="shared" si="7"/>
        <v>4.584045584045584</v>
      </c>
      <c r="H33" s="5"/>
      <c r="I33" s="4">
        <v>3</v>
      </c>
      <c r="J33" s="5">
        <f>(F7+D7+P7+N7+1)/(N7+D7+1)</f>
        <v>4.2307692307692308</v>
      </c>
      <c r="K33" s="6">
        <f t="shared" si="8"/>
        <v>4.6039886039886042</v>
      </c>
      <c r="L33" s="36"/>
      <c r="M33" s="4">
        <v>4</v>
      </c>
      <c r="N33" s="5">
        <v>27</v>
      </c>
      <c r="O33" s="6">
        <f ca="1">$H$75*EXP($I$75*M33)</f>
        <v>29.575962316599931</v>
      </c>
      <c r="R33" s="4">
        <v>4</v>
      </c>
      <c r="S33" s="5">
        <f>$H$57*EXP($I$57*R33)</f>
        <v>40.556666666666722</v>
      </c>
      <c r="T33" s="5">
        <f>$H$58*EXP($I$58*$R33)</f>
        <v>37.619645295616699</v>
      </c>
      <c r="U33" s="5">
        <f>$H$59*EXP($I$59*$R33)</f>
        <v>38.580658310743644</v>
      </c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6"/>
    </row>
    <row r="34" spans="1:37" x14ac:dyDescent="0.2">
      <c r="A34" s="4">
        <v>4</v>
      </c>
      <c r="B34" s="5">
        <f>F8*$C$2+K8*$H$2+P8*$M$2+U8*$R$2</f>
        <v>468</v>
      </c>
      <c r="C34" s="6">
        <f t="shared" si="6"/>
        <v>444.66666666666669</v>
      </c>
      <c r="D34" s="5"/>
      <c r="E34" s="4">
        <v>4</v>
      </c>
      <c r="F34" s="5">
        <f>(W8+1)/(X8+1)</f>
        <v>4.4444444444444446</v>
      </c>
      <c r="G34" s="6">
        <f t="shared" si="7"/>
        <v>3.193935693935694</v>
      </c>
      <c r="H34" s="5"/>
      <c r="I34" s="4">
        <v>4</v>
      </c>
      <c r="J34" s="5">
        <f>(F8+D8+P8+N8+1)/(N8+D8+1)</f>
        <v>5.8888888888888893</v>
      </c>
      <c r="K34" s="6">
        <f t="shared" si="8"/>
        <v>4.7898860398860394</v>
      </c>
      <c r="L34" s="36"/>
      <c r="M34" s="4">
        <v>5</v>
      </c>
      <c r="N34" s="5">
        <v>23</v>
      </c>
      <c r="O34" s="6">
        <f ca="1">$H$75*EXP($I$75*M34)</f>
        <v>24.740995187702346</v>
      </c>
      <c r="R34" s="4">
        <v>5</v>
      </c>
      <c r="S34" s="5">
        <f>$H$57*EXP($I$57*R34)</f>
        <v>31.093444444444501</v>
      </c>
      <c r="T34" s="5">
        <f>$H$58*EXP($I$58*$R34)</f>
        <v>28.040028056809707</v>
      </c>
      <c r="U34" s="5">
        <f>$H$59*EXP($I$59*$R34)</f>
        <v>29.068883707497278</v>
      </c>
      <c r="V34" s="5">
        <f>$H$60*EXP($I$60*$R34)</f>
        <v>20.316239849598837</v>
      </c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6"/>
    </row>
    <row r="35" spans="1:37" x14ac:dyDescent="0.2">
      <c r="A35" s="4">
        <v>5</v>
      </c>
      <c r="B35" s="5">
        <f>F9*$C$2+K9*$H$2+P9*$M$2+U9*$R$2</f>
        <v>441</v>
      </c>
      <c r="C35" s="6">
        <f t="shared" si="6"/>
        <v>433</v>
      </c>
      <c r="D35" s="5"/>
      <c r="E35" s="4">
        <v>5</v>
      </c>
      <c r="F35" s="5">
        <f>(W9+1)/(X9+1)</f>
        <v>1.2142857142857142</v>
      </c>
      <c r="G35" s="6">
        <f t="shared" si="7"/>
        <v>2.1481481481481484</v>
      </c>
      <c r="H35" s="5"/>
      <c r="I35" s="4">
        <v>5</v>
      </c>
      <c r="J35" s="5">
        <f>(F9+D9+P9+N9+1)/(N9+D9+1)</f>
        <v>4.25</v>
      </c>
      <c r="K35" s="6">
        <f t="shared" si="8"/>
        <v>4.5740740740740744</v>
      </c>
      <c r="L35" s="36"/>
      <c r="M35" s="4">
        <v>6</v>
      </c>
      <c r="N35" s="5">
        <v>23</v>
      </c>
      <c r="O35" s="6">
        <f ca="1">$H$75*EXP($I$75*M35)</f>
        <v>20.696430308012378</v>
      </c>
      <c r="R35" s="4">
        <v>6</v>
      </c>
      <c r="S35" s="5">
        <f>$H$57*EXP($I$57*R35)</f>
        <v>23.838307407407452</v>
      </c>
      <c r="T35" s="5">
        <f>$H$58*EXP($I$58*$R35)</f>
        <v>20.899802942009273</v>
      </c>
      <c r="U35" s="5">
        <f>$H$59*EXP($I$59*$R35)</f>
        <v>21.902166448121285</v>
      </c>
      <c r="V35" s="5">
        <f>$H$60*EXP($I$60*$R35)</f>
        <v>13.584397389179815</v>
      </c>
      <c r="W35" s="5">
        <f>$H$61*EXP($I$61*$R35)</f>
        <v>11.570511565703249</v>
      </c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6"/>
    </row>
    <row r="36" spans="1:37" x14ac:dyDescent="0.2">
      <c r="A36" s="4">
        <v>6</v>
      </c>
      <c r="B36" s="5">
        <f>F10*$C$2+K10*$H$2+P10*$M$2+U10*$R$2</f>
        <v>390</v>
      </c>
      <c r="C36" s="6">
        <f t="shared" si="6"/>
        <v>390</v>
      </c>
      <c r="D36" s="5"/>
      <c r="E36" s="4">
        <v>6</v>
      </c>
      <c r="F36" s="5">
        <f>(W10+1)/(X10+1)</f>
        <v>0.7857142857142857</v>
      </c>
      <c r="G36" s="6">
        <f t="shared" si="7"/>
        <v>0.91666666666666663</v>
      </c>
      <c r="H36" s="5"/>
      <c r="I36" s="4">
        <v>6</v>
      </c>
      <c r="J36" s="5">
        <f>(F10+D10+P10+N10+1)/(N10+D10+1)</f>
        <v>3.5833333333333335</v>
      </c>
      <c r="K36" s="6">
        <f t="shared" si="8"/>
        <v>3.6414141414141419</v>
      </c>
      <c r="L36" s="36"/>
      <c r="M36" s="4">
        <v>7</v>
      </c>
      <c r="N36" s="5">
        <v>19</v>
      </c>
      <c r="O36" s="6">
        <f ca="1">$H$75*EXP($I$75*M36)</f>
        <v>17.313055689341194</v>
      </c>
      <c r="R36" s="4">
        <v>7</v>
      </c>
      <c r="S36" s="5">
        <f>$H$57*EXP($I$57*R36)</f>
        <v>18.276035679012384</v>
      </c>
      <c r="T36" s="5">
        <f>$H$58*EXP($I$58*$R36)</f>
        <v>15.577793364894282</v>
      </c>
      <c r="U36" s="5">
        <f>$H$59*EXP($I$59*$R36)</f>
        <v>16.502350071237409</v>
      </c>
      <c r="V36" s="5">
        <f>$H$60*EXP($I$60*$R36)</f>
        <v>9.0831696117625462</v>
      </c>
      <c r="W36" s="5">
        <f>$H$61*EXP($I$61*$R36)</f>
        <v>7.4053201492223444</v>
      </c>
      <c r="X36" s="5">
        <f>$H$62*EXP($I$62*$R36)</f>
        <v>7.675714915497359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6"/>
    </row>
    <row r="37" spans="1:37" x14ac:dyDescent="0.2">
      <c r="A37" s="4">
        <v>7</v>
      </c>
      <c r="B37" s="5">
        <f>F11*$C$2+K11*$H$2+P11*$M$2+U11*$R$2</f>
        <v>339</v>
      </c>
      <c r="C37" s="6">
        <f t="shared" si="6"/>
        <v>342</v>
      </c>
      <c r="D37" s="5"/>
      <c r="E37" s="4">
        <v>7</v>
      </c>
      <c r="F37" s="5">
        <f>(W11+1)/(X11+1)</f>
        <v>0.75</v>
      </c>
      <c r="G37" s="6">
        <f t="shared" si="7"/>
        <v>0.70238095238095222</v>
      </c>
      <c r="H37" s="5"/>
      <c r="I37" s="4">
        <v>7</v>
      </c>
      <c r="J37" s="5">
        <f>(F11+D11+P11+N11+1)/(N11+D11+1)</f>
        <v>3.0909090909090908</v>
      </c>
      <c r="K37" s="6">
        <f t="shared" si="8"/>
        <v>3.0303030303030298</v>
      </c>
      <c r="L37" s="36"/>
      <c r="M37" s="4">
        <v>8</v>
      </c>
      <c r="N37" s="5">
        <v>16</v>
      </c>
      <c r="O37" s="6">
        <f ca="1">$H$75*EXP($I$75*M37)</f>
        <v>14.48278243355754</v>
      </c>
      <c r="R37" s="4">
        <v>8</v>
      </c>
      <c r="S37" s="5">
        <f>$H$57*EXP($I$57*R37)</f>
        <v>14.011627353909498</v>
      </c>
      <c r="T37" s="5">
        <f>$H$58*EXP($I$58*$R37)</f>
        <v>11.611001634449597</v>
      </c>
      <c r="U37" s="5">
        <f>$H$59*EXP($I$59*$R37)</f>
        <v>12.433818294583769</v>
      </c>
      <c r="V37" s="5">
        <f>$H$60*EXP($I$60*$R37)</f>
        <v>6.0734361512246569</v>
      </c>
      <c r="W37" s="5">
        <f>$H$61*EXP($I$61*$R37)</f>
        <v>4.7395282569034256</v>
      </c>
      <c r="X37" s="5">
        <f>$H$62*EXP($I$62*$R37)</f>
        <v>4.9534107734337889</v>
      </c>
      <c r="Y37" s="5">
        <f>$H$63*EXP($I$63*$R37)</f>
        <v>5.7211726113205472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6"/>
    </row>
    <row r="38" spans="1:37" x14ac:dyDescent="0.2">
      <c r="A38" s="4">
        <v>8</v>
      </c>
      <c r="B38" s="5">
        <f>F12*$C$2+K12*$H$2+P12*$M$2+U12*$R$2</f>
        <v>297</v>
      </c>
      <c r="C38" s="6">
        <f t="shared" si="6"/>
        <v>295.66666666666669</v>
      </c>
      <c r="D38" s="5"/>
      <c r="E38" s="4">
        <v>8</v>
      </c>
      <c r="F38" s="5">
        <f>(W12+1)/(X12+1)</f>
        <v>0.5714285714285714</v>
      </c>
      <c r="G38" s="6">
        <f t="shared" si="7"/>
        <v>0.66269841269841268</v>
      </c>
      <c r="H38" s="5"/>
      <c r="I38" s="4">
        <v>8</v>
      </c>
      <c r="J38" s="5">
        <f>(F12+D12+P12+N12+1)/(N12+D12+1)</f>
        <v>2.4166666666666665</v>
      </c>
      <c r="K38" s="6">
        <f t="shared" si="8"/>
        <v>2.4469696969696968</v>
      </c>
      <c r="L38" s="36"/>
      <c r="M38" s="4">
        <v>9</v>
      </c>
      <c r="N38" s="5">
        <v>13</v>
      </c>
      <c r="O38" s="6">
        <f ca="1">$H$75*EXP($I$75*M38)</f>
        <v>12.115191609237204</v>
      </c>
      <c r="R38" s="4">
        <v>9</v>
      </c>
      <c r="S38" s="5">
        <f>$H$57*EXP($I$57*R38)</f>
        <v>10.742247637997286</v>
      </c>
      <c r="T38" s="5">
        <f>$H$58*EXP($I$58*$R38)</f>
        <v>8.6543296471634843</v>
      </c>
      <c r="U38" s="5">
        <f>$H$59*EXP($I$59*$R38)</f>
        <v>9.3683527931081887</v>
      </c>
      <c r="V38" s="5">
        <f>$H$60*EXP($I$60*$R38)</f>
        <v>4.0609862261335561</v>
      </c>
      <c r="W38" s="5">
        <f>$H$61*EXP($I$61*$R38)</f>
        <v>3.0333770377699278</v>
      </c>
      <c r="X38" s="5">
        <f>$H$62*EXP($I$62*$R38)</f>
        <v>3.1966114636215699</v>
      </c>
      <c r="Y38" s="5">
        <f>$H$63*EXP($I$63*$R38)</f>
        <v>3.8000271576152094</v>
      </c>
      <c r="Z38" s="5">
        <f>$H$64*EXP($I$64*$R38)</f>
        <v>4.7864709638263285</v>
      </c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6"/>
    </row>
    <row r="39" spans="1:37" x14ac:dyDescent="0.2">
      <c r="A39" s="4">
        <v>9</v>
      </c>
      <c r="B39" s="5">
        <f>F13*$C$2+K13*$H$2+P13*$M$2+U13*$R$2</f>
        <v>251</v>
      </c>
      <c r="C39" s="6">
        <f t="shared" si="6"/>
        <v>252.66666666666666</v>
      </c>
      <c r="D39" s="5"/>
      <c r="E39" s="4">
        <v>9</v>
      </c>
      <c r="F39" s="5">
        <f>(W13+1)/(X13+1)</f>
        <v>0.66666666666666663</v>
      </c>
      <c r="G39" s="6">
        <f t="shared" si="7"/>
        <v>0.62698412698412698</v>
      </c>
      <c r="H39" s="5"/>
      <c r="I39" s="4">
        <v>9</v>
      </c>
      <c r="J39" s="5">
        <f>(F13+D13+P13+N13+1)/(N13+D13+1)</f>
        <v>1.8333333333333333</v>
      </c>
      <c r="K39" s="6">
        <f t="shared" si="8"/>
        <v>1.8611111111111109</v>
      </c>
      <c r="L39" s="36"/>
      <c r="M39" s="4">
        <v>10</v>
      </c>
      <c r="N39" s="5">
        <v>10</v>
      </c>
      <c r="O39" s="6">
        <f ca="1">$H$75*EXP($I$75*M39)</f>
        <v>10.134645631935873</v>
      </c>
      <c r="R39" s="4">
        <v>10</v>
      </c>
      <c r="S39" s="5">
        <f>$H$57*EXP($I$57*R39)</f>
        <v>8.2357231891312548</v>
      </c>
      <c r="T39" s="5">
        <f>$H$58*EXP($I$58*$R39)</f>
        <v>6.4505564635831085</v>
      </c>
      <c r="U39" s="5">
        <f>$H$59*EXP($I$59*$R39)</f>
        <v>7.0586550307212761</v>
      </c>
      <c r="V39" s="5">
        <f>$H$60*EXP($I$60*$R39)</f>
        <v>2.7153671691306198</v>
      </c>
      <c r="W39" s="5">
        <f>$H$61*EXP($I$61*$R39)</f>
        <v>1.9414118356331065</v>
      </c>
      <c r="X39" s="5">
        <f>$H$62*EXP($I$62*$R39)</f>
        <v>2.0628866283733056</v>
      </c>
      <c r="Y39" s="5">
        <f>$H$63*EXP($I$63*$R39)</f>
        <v>2.523994184346078</v>
      </c>
      <c r="Z39" s="5">
        <f>$H$64*EXP($I$64*$R39)</f>
        <v>3.3113455319721701</v>
      </c>
      <c r="AA39" s="5">
        <f>$H$65*EXP($I$65*$R39)</f>
        <v>4.4910007059096149</v>
      </c>
      <c r="AB39" s="5"/>
      <c r="AC39" s="5"/>
      <c r="AD39" s="5"/>
      <c r="AE39" s="5"/>
      <c r="AF39" s="5"/>
      <c r="AG39" s="5"/>
      <c r="AH39" s="5"/>
      <c r="AI39" s="5"/>
      <c r="AJ39" s="5"/>
      <c r="AK39" s="6"/>
    </row>
    <row r="40" spans="1:37" x14ac:dyDescent="0.2">
      <c r="A40" s="4">
        <v>10</v>
      </c>
      <c r="B40" s="5">
        <f>F14*$C$2+K14*$H$2+P14*$M$2+U14*$R$2</f>
        <v>210</v>
      </c>
      <c r="C40" s="6">
        <f t="shared" si="6"/>
        <v>211</v>
      </c>
      <c r="D40" s="5"/>
      <c r="E40" s="4">
        <v>10</v>
      </c>
      <c r="F40" s="5">
        <f>(W14+1)/(X14+1)</f>
        <v>0.6428571428571429</v>
      </c>
      <c r="G40" s="6">
        <f t="shared" si="7"/>
        <v>0.51058201058201058</v>
      </c>
      <c r="H40" s="5"/>
      <c r="I40" s="4">
        <v>10</v>
      </c>
      <c r="J40" s="5">
        <f>(F14+D14+P14+N14+1)/(N14+D14+1)</f>
        <v>1.3333333333333333</v>
      </c>
      <c r="K40" s="6">
        <f t="shared" si="8"/>
        <v>1.3888888888888886</v>
      </c>
      <c r="L40" s="36"/>
      <c r="M40" s="4">
        <v>11</v>
      </c>
      <c r="N40" s="5">
        <v>8</v>
      </c>
      <c r="O40" s="6">
        <f ca="1">$H$75*EXP($I$75*M40)</f>
        <v>8.4778718651552385</v>
      </c>
      <c r="R40" s="4">
        <v>11</v>
      </c>
      <c r="S40" s="5">
        <f>$H$57*EXP($I$57*R40)</f>
        <v>6.314054445000628</v>
      </c>
      <c r="T40" s="5">
        <f>$H$58*EXP($I$58*$R40)</f>
        <v>4.8079609150908249</v>
      </c>
      <c r="U40" s="5">
        <f>$H$59*EXP($I$59*$R40)</f>
        <v>5.3183960876644383</v>
      </c>
      <c r="V40" s="5">
        <f>$H$60*EXP($I$60*$R40)</f>
        <v>1.8156227213339853</v>
      </c>
      <c r="W40" s="5">
        <f>$H$61*EXP($I$61*$R40)</f>
        <v>1.2425359157815916</v>
      </c>
      <c r="X40" s="5">
        <f>$H$62*EXP($I$62*$R40)</f>
        <v>1.3312538261062721</v>
      </c>
      <c r="Y40" s="5">
        <f>$H$63*EXP($I$63*$R40)</f>
        <v>1.6764476616558703</v>
      </c>
      <c r="Z40" s="5">
        <f>$H$64*EXP($I$64*$R40)</f>
        <v>2.2908337509994139</v>
      </c>
      <c r="AA40" s="5">
        <f>$H$65*EXP($I$65*$R40)</f>
        <v>3.2600763215252493</v>
      </c>
      <c r="AB40" s="5">
        <f>$H$66*EXP($I$66*$R40)</f>
        <v>3.1749678472733587</v>
      </c>
      <c r="AC40" s="5"/>
      <c r="AD40" s="5"/>
      <c r="AE40" s="5"/>
      <c r="AF40" s="5"/>
      <c r="AG40" s="5"/>
      <c r="AH40" s="5"/>
      <c r="AI40" s="5"/>
      <c r="AJ40" s="5"/>
      <c r="AK40" s="6"/>
    </row>
    <row r="41" spans="1:37" x14ac:dyDescent="0.2">
      <c r="A41" s="4">
        <v>11</v>
      </c>
      <c r="B41" s="5">
        <f>F15*$C$2+K15*$H$2+P15*$M$2+U15*$R$2</f>
        <v>172</v>
      </c>
      <c r="C41" s="6">
        <f t="shared" si="6"/>
        <v>177</v>
      </c>
      <c r="D41" s="5"/>
      <c r="E41" s="4">
        <v>11</v>
      </c>
      <c r="F41" s="5">
        <f>(W15+1)/(X15+1)</f>
        <v>0.22222222222222221</v>
      </c>
      <c r="G41" s="6">
        <f t="shared" si="7"/>
        <v>0.32682132682132686</v>
      </c>
      <c r="H41" s="5"/>
      <c r="I41" s="4">
        <v>11</v>
      </c>
      <c r="J41" s="5">
        <f>(F15+D15+P15+N15+1)/(N15+D15+1)</f>
        <v>1</v>
      </c>
      <c r="K41" s="6">
        <f t="shared" si="8"/>
        <v>1.1111111111111109</v>
      </c>
      <c r="L41" s="36"/>
      <c r="M41" s="4">
        <v>12</v>
      </c>
      <c r="N41" s="5">
        <v>9</v>
      </c>
      <c r="O41" s="6">
        <f ca="1">$H$75*EXP($I$75*M41)</f>
        <v>7.0919412451386963</v>
      </c>
      <c r="R41" s="4">
        <v>12</v>
      </c>
      <c r="S41" s="5">
        <f>$H$57*EXP($I$57*R41)</f>
        <v>4.8407750745004829</v>
      </c>
      <c r="T41" s="5">
        <f>$H$58*EXP($I$58*$R41)</f>
        <v>3.5836424797683919</v>
      </c>
      <c r="U41" s="5">
        <f>$H$59*EXP($I$59*$R41)</f>
        <v>4.0071850546851433</v>
      </c>
      <c r="V41" s="5">
        <f>$H$60*EXP($I$60*$R41)</f>
        <v>1.21401109349041</v>
      </c>
      <c r="W41" s="5">
        <f>$H$61*EXP($I$61*$R41)</f>
        <v>0.79524368486386821</v>
      </c>
      <c r="X41" s="5">
        <f>$H$62*EXP($I$62*$R41)</f>
        <v>0.85910525820805328</v>
      </c>
      <c r="Y41" s="5">
        <f>$H$63*EXP($I$63*$R41)</f>
        <v>1.113503660072648</v>
      </c>
      <c r="Z41" s="5">
        <f>$H$64*EXP($I$64*$R41)</f>
        <v>1.5848298596590407</v>
      </c>
      <c r="AA41" s="5">
        <f>$H$65*EXP($I$65*$R41)</f>
        <v>2.366532164687551</v>
      </c>
      <c r="AB41" s="5">
        <f>$H$66*EXP($I$66*$R41)</f>
        <v>2.2960575565451826</v>
      </c>
      <c r="AC41" s="5">
        <f>$H$67*EXP($I$67*$R41)</f>
        <v>2.2044709908675006</v>
      </c>
      <c r="AD41" s="5"/>
      <c r="AE41" s="5"/>
      <c r="AF41" s="5"/>
      <c r="AG41" s="5"/>
      <c r="AH41" s="5"/>
      <c r="AI41" s="5"/>
      <c r="AJ41" s="5"/>
      <c r="AK41" s="6"/>
    </row>
    <row r="42" spans="1:37" x14ac:dyDescent="0.2">
      <c r="A42" s="4">
        <v>12</v>
      </c>
      <c r="B42" s="5">
        <f>F16*$C$2+K16*$H$2+P16*$M$2+U16*$R$2</f>
        <v>149</v>
      </c>
      <c r="C42" s="6">
        <f t="shared" si="6"/>
        <v>150.66666666666666</v>
      </c>
      <c r="D42" s="5"/>
      <c r="E42" s="4">
        <v>12</v>
      </c>
      <c r="F42" s="5">
        <f>(W16+1)/(X16+1)</f>
        <v>0.11538461538461539</v>
      </c>
      <c r="G42" s="6">
        <f t="shared" si="7"/>
        <v>0.18499938065155455</v>
      </c>
      <c r="H42" s="5"/>
      <c r="I42" s="4">
        <v>12</v>
      </c>
      <c r="J42" s="5">
        <f>(F16+D16+P16+N16+1)/(N16+D16+1)</f>
        <v>1</v>
      </c>
      <c r="K42" s="6">
        <f t="shared" si="8"/>
        <v>1</v>
      </c>
      <c r="L42" s="36"/>
      <c r="M42" s="4">
        <v>13</v>
      </c>
      <c r="N42" s="5">
        <v>7</v>
      </c>
      <c r="O42" s="6">
        <f ca="1">$H$75*EXP($I$75*M42)</f>
        <v>5.9325773524861409</v>
      </c>
      <c r="R42" s="4">
        <v>13</v>
      </c>
      <c r="S42" s="5">
        <f>$H$57*EXP($I$57*R42)</f>
        <v>3.7112608904503723</v>
      </c>
      <c r="T42" s="5">
        <f>$H$58*EXP($I$58*$R42)</f>
        <v>2.6710893972726804</v>
      </c>
      <c r="U42" s="5">
        <f>$H$59*EXP($I$59*$R42)</f>
        <v>3.0192433579243998</v>
      </c>
      <c r="V42" s="5">
        <f>$H$60*EXP($I$60*$R42)</f>
        <v>0.81174514826236943</v>
      </c>
      <c r="W42" s="5">
        <f>$H$61*EXP($I$61*$R42)</f>
        <v>0.50896920586642147</v>
      </c>
      <c r="X42" s="5">
        <f>$H$62*EXP($I$62*$R42)</f>
        <v>0.5544110598648575</v>
      </c>
      <c r="Y42" s="5">
        <f>$H$63*EXP($I$63*$R42)</f>
        <v>0.73959386228050372</v>
      </c>
      <c r="Z42" s="5">
        <f>$H$64*EXP($I$64*$R42)</f>
        <v>1.0964067920560068</v>
      </c>
      <c r="AA42" s="5">
        <f>$H$65*EXP($I$65*$R42)</f>
        <v>1.7178967404911936</v>
      </c>
      <c r="AB42" s="5">
        <f>$H$66*EXP($I$66*$R42)</f>
        <v>1.6604515562246378</v>
      </c>
      <c r="AC42" s="5">
        <f>$H$67*EXP($I$67*$R42)</f>
        <v>1.5857764036113842</v>
      </c>
      <c r="AD42" s="5">
        <f>$H$68*EXP($I$68*$R42)</f>
        <v>2.0447090664634247</v>
      </c>
      <c r="AE42" s="5"/>
      <c r="AF42" s="5"/>
      <c r="AG42" s="5"/>
      <c r="AH42" s="5"/>
      <c r="AI42" s="5"/>
      <c r="AJ42" s="5"/>
      <c r="AK42" s="6"/>
    </row>
    <row r="43" spans="1:37" x14ac:dyDescent="0.2">
      <c r="A43" s="4">
        <v>13</v>
      </c>
      <c r="B43" s="5">
        <f>F17*$C$2+K17*$H$2+P17*$M$2+U17*$R$2</f>
        <v>131</v>
      </c>
      <c r="C43" s="6">
        <f t="shared" si="6"/>
        <v>129.33333333333334</v>
      </c>
      <c r="D43" s="5"/>
      <c r="E43" s="4">
        <v>13</v>
      </c>
      <c r="F43" s="5">
        <f>(W17+1)/(X17+1)</f>
        <v>0.21739130434782608</v>
      </c>
      <c r="G43" s="6">
        <f t="shared" si="7"/>
        <v>0.14938684503901897</v>
      </c>
      <c r="H43" s="5"/>
      <c r="I43" s="4">
        <v>13</v>
      </c>
      <c r="J43" s="5">
        <f>(F17+D17+P17+N17+1)/(N17+D17+1)</f>
        <v>1</v>
      </c>
      <c r="K43" s="6">
        <f t="shared" si="8"/>
        <v>1</v>
      </c>
      <c r="L43" s="36"/>
      <c r="M43" s="4">
        <v>14</v>
      </c>
      <c r="N43" s="5">
        <v>7</v>
      </c>
      <c r="O43" s="6">
        <f ca="1">$H$75*EXP($I$75*M43)</f>
        <v>4.9627419103841079</v>
      </c>
      <c r="R43" s="4">
        <v>14</v>
      </c>
      <c r="S43" s="5">
        <f>$H$57*EXP($I$57*R43)</f>
        <v>2.8453000160119517</v>
      </c>
      <c r="T43" s="5">
        <f>$H$58*EXP($I$58*$R43)</f>
        <v>1.9909124887602185</v>
      </c>
      <c r="U43" s="5">
        <f>$H$59*EXP($I$59*$R43)</f>
        <v>2.2748713448390689</v>
      </c>
      <c r="V43" s="5">
        <f>$H$60*EXP($I$60*$R43)</f>
        <v>0.54277114044567931</v>
      </c>
      <c r="W43" s="5">
        <f>$H$61*EXP($I$61*$R43)</f>
        <v>0.32574877040946326</v>
      </c>
      <c r="X43" s="5">
        <f>$H$62*EXP($I$62*$R43)</f>
        <v>0.35778109883950615</v>
      </c>
      <c r="Y43" s="5">
        <f>$H$63*EXP($I$63*$R43)</f>
        <v>0.49124138584987181</v>
      </c>
      <c r="Z43" s="5">
        <f>$H$64*EXP($I$64*$R43)</f>
        <v>0.7585090893764227</v>
      </c>
      <c r="AA43" s="5">
        <f>$H$65*EXP($I$65*$R43)</f>
        <v>1.2470437778224335</v>
      </c>
      <c r="AB43" s="5">
        <f>$H$66*EXP($I$66*$R43)</f>
        <v>1.2007971501887582</v>
      </c>
      <c r="AC43" s="5">
        <f>$H$67*EXP($I$67*$R43)</f>
        <v>1.1407212037120436</v>
      </c>
      <c r="AD43" s="5">
        <f>$H$68*EXP($I$68*$R43)</f>
        <v>1.5164071877394789</v>
      </c>
      <c r="AE43" s="5">
        <f>$H$69*EXP($I$69*$R43)</f>
        <v>1.6282760959585731</v>
      </c>
      <c r="AF43" s="5"/>
      <c r="AG43" s="5"/>
      <c r="AH43" s="5"/>
      <c r="AI43" s="5"/>
      <c r="AJ43" s="5"/>
      <c r="AK43" s="6"/>
    </row>
    <row r="44" spans="1:37" x14ac:dyDescent="0.2">
      <c r="A44" s="4">
        <v>14</v>
      </c>
      <c r="B44" s="5">
        <f>F18*$C$2+K18*$H$2+P18*$M$2+U18*$R$2</f>
        <v>108</v>
      </c>
      <c r="C44" s="6">
        <f t="shared" si="6"/>
        <v>109.33333333333333</v>
      </c>
      <c r="D44" s="5"/>
      <c r="E44" s="4">
        <v>14</v>
      </c>
      <c r="F44" s="5">
        <f>(W18+1)/(X18+1)</f>
        <v>0.11538461538461539</v>
      </c>
      <c r="G44" s="6">
        <f t="shared" si="7"/>
        <v>0.18036975102192496</v>
      </c>
      <c r="H44" s="5"/>
      <c r="I44" s="4">
        <v>14</v>
      </c>
      <c r="J44" s="5">
        <f>(F18+D18+P18+N18+1)/(N18+D18+1)</f>
        <v>1</v>
      </c>
      <c r="K44" s="6">
        <f t="shared" si="8"/>
        <v>1</v>
      </c>
      <c r="L44" s="36"/>
      <c r="M44" s="4">
        <v>15</v>
      </c>
      <c r="N44" s="5">
        <v>3</v>
      </c>
      <c r="O44" s="6">
        <f ca="1">$H$75*EXP($I$75*M44)</f>
        <v>4.1514515202674618</v>
      </c>
      <c r="R44" s="4">
        <v>15</v>
      </c>
      <c r="S44" s="5">
        <f>$H$57*EXP($I$57*R44)</f>
        <v>2.1813966789424968</v>
      </c>
      <c r="T44" s="5">
        <f>$H$58*EXP($I$58*$R44)</f>
        <v>1.4839385540403771</v>
      </c>
      <c r="U44" s="5">
        <f>$H$59*EXP($I$59*$R44)</f>
        <v>1.7140187199509256</v>
      </c>
      <c r="V44" s="5">
        <f>$H$60*EXP($I$60*$R44)</f>
        <v>0.36292241663695579</v>
      </c>
      <c r="W44" s="5">
        <f>$H$61*EXP($I$61*$R44)</f>
        <v>0.20848463954246824</v>
      </c>
      <c r="X44" s="5">
        <f>$H$62*EXP($I$62*$R44)</f>
        <v>0.23088881870070779</v>
      </c>
      <c r="Y44" s="5">
        <f>$H$63*EXP($I$63*$R44)</f>
        <v>0.32628461575872136</v>
      </c>
      <c r="Z44" s="5">
        <f>$H$64*EXP($I$64*$R44)</f>
        <v>0.52474687573557199</v>
      </c>
      <c r="AA44" s="5">
        <f>$H$65*EXP($I$65*$R44)</f>
        <v>0.90524543597480556</v>
      </c>
      <c r="AB44" s="5">
        <f>$H$66*EXP($I$66*$R44)</f>
        <v>0.86838654852413588</v>
      </c>
      <c r="AC44" s="5">
        <f>$H$67*EXP($I$67*$R44)</f>
        <v>0.82057272490298705</v>
      </c>
      <c r="AD44" s="5">
        <f>$H$68*EXP($I$68*$R44)</f>
        <v>1.1246053518045021</v>
      </c>
      <c r="AE44" s="5">
        <f>$H$69*EXP($I$69*$R44)</f>
        <v>1.2171582557196756</v>
      </c>
      <c r="AF44" s="5">
        <f>$H$70*EXP($I$70*$R44)</f>
        <v>1.6226294109573884</v>
      </c>
      <c r="AG44" s="5"/>
      <c r="AH44" s="5"/>
      <c r="AI44" s="5"/>
      <c r="AJ44" s="5"/>
      <c r="AK44" s="6"/>
    </row>
    <row r="45" spans="1:37" x14ac:dyDescent="0.2">
      <c r="A45" s="4">
        <v>15</v>
      </c>
      <c r="B45" s="5">
        <f>F19*$C$2+K19*$H$2+P19*$M$2+U19*$R$2</f>
        <v>89</v>
      </c>
      <c r="C45" s="6">
        <f t="shared" si="6"/>
        <v>87.333333333333329</v>
      </c>
      <c r="D45" s="5"/>
      <c r="E45" s="4">
        <v>15</v>
      </c>
      <c r="F45" s="5">
        <f>(W19+1)/(X19+1)</f>
        <v>0.20833333333333334</v>
      </c>
      <c r="G45" s="6">
        <f t="shared" si="7"/>
        <v>0.13354700854700854</v>
      </c>
      <c r="H45" s="5"/>
      <c r="I45" s="4">
        <v>15</v>
      </c>
      <c r="J45" s="5">
        <f>(F19+D19+P19+N19+1)/(N19+D19+1)</f>
        <v>1</v>
      </c>
      <c r="K45" s="6">
        <f t="shared" si="8"/>
        <v>1</v>
      </c>
      <c r="L45" s="36"/>
      <c r="M45" s="4">
        <v>16</v>
      </c>
      <c r="N45" s="5">
        <v>2</v>
      </c>
      <c r="O45" s="6">
        <f ca="1">$H$75*EXP($I$75*M45)</f>
        <v>3.4727878330866297</v>
      </c>
      <c r="R45" s="4">
        <v>16</v>
      </c>
      <c r="S45" s="5">
        <f>$H$57*EXP($I$57*R45)</f>
        <v>1.6724041205225817</v>
      </c>
      <c r="T45" s="5">
        <f>$H$58*EXP($I$58*$R45)</f>
        <v>1.1060624937556764</v>
      </c>
      <c r="U45" s="5">
        <f>$H$59*EXP($I$59*$R45)</f>
        <v>1.2914401418819756</v>
      </c>
      <c r="V45" s="5">
        <f>$H$60*EXP($I$60*$R45)</f>
        <v>0.24266706661937948</v>
      </c>
      <c r="W45" s="5">
        <f>$H$61*EXP($I$61*$R45)</f>
        <v>0.13343364234504013</v>
      </c>
      <c r="X45" s="5">
        <f>$H$62*EXP($I$62*$R45)</f>
        <v>0.14900073473395548</v>
      </c>
      <c r="Y45" s="5">
        <f>$H$63*EXP($I$63*$R45)</f>
        <v>0.21671962816535184</v>
      </c>
      <c r="Z45" s="5">
        <f>$H$64*EXP($I$64*$R45)</f>
        <v>0.36302700580769437</v>
      </c>
      <c r="AA45" s="5">
        <f>$H$65*EXP($I$65*$R45)</f>
        <v>0.65712953620935366</v>
      </c>
      <c r="AB45" s="5">
        <f>$H$66*EXP($I$66*$R45)</f>
        <v>0.62799549244360098</v>
      </c>
      <c r="AC45" s="5">
        <f>$H$67*EXP($I$67*$R45)</f>
        <v>0.5902753404281309</v>
      </c>
      <c r="AD45" s="5">
        <f>$H$68*EXP($I$68*$R45)</f>
        <v>0.83403534850865624</v>
      </c>
      <c r="AE45" s="5">
        <f>$H$69*EXP($I$69*$R45)</f>
        <v>0.90984214725231416</v>
      </c>
      <c r="AF45" s="5">
        <f>$H$70*EXP($I$70*$R45)</f>
        <v>1.2495572797651291</v>
      </c>
      <c r="AG45" s="5">
        <f>$H$71*EXP($I$71*$R45)</f>
        <v>1.1876854990097421</v>
      </c>
      <c r="AH45" s="5"/>
      <c r="AI45" s="5"/>
      <c r="AJ45" s="5"/>
      <c r="AK45" s="6"/>
    </row>
    <row r="46" spans="1:37" x14ac:dyDescent="0.2">
      <c r="A46" s="4">
        <v>16</v>
      </c>
      <c r="B46" s="5">
        <f>F20*$C$2+K20*$H$2+P20*$M$2+U20*$R$2</f>
        <v>65</v>
      </c>
      <c r="C46" s="6">
        <f t="shared" si="6"/>
        <v>65.666666666666671</v>
      </c>
      <c r="D46" s="5"/>
      <c r="E46" s="4">
        <v>16</v>
      </c>
      <c r="F46" s="5">
        <f>(W20+1)/(X20+1)</f>
        <v>7.6923076923076927E-2</v>
      </c>
      <c r="G46" s="6">
        <f t="shared" si="7"/>
        <v>0.10957822370865848</v>
      </c>
      <c r="H46" s="5"/>
      <c r="I46" s="4">
        <v>16</v>
      </c>
      <c r="J46" s="5">
        <f>(F20+D20+P20+N20+1)/(N20+D20+1)</f>
        <v>1</v>
      </c>
      <c r="K46" s="6">
        <f t="shared" si="8"/>
        <v>1</v>
      </c>
      <c r="L46" s="36"/>
      <c r="M46" s="4">
        <v>17</v>
      </c>
      <c r="N46" s="5">
        <v>4</v>
      </c>
      <c r="O46" s="6">
        <f ca="1">$H$75*EXP($I$75*M46)</f>
        <v>2.9050695340548098</v>
      </c>
      <c r="R46" s="4">
        <v>17</v>
      </c>
      <c r="S46" s="5">
        <f>$H$57*EXP($I$57*R46)</f>
        <v>1.2821764924006462</v>
      </c>
      <c r="T46" s="5">
        <f>$H$58*EXP($I$58*$R46)</f>
        <v>0.82441030780020985</v>
      </c>
      <c r="U46" s="5">
        <f>$H$59*EXP($I$59*$R46)</f>
        <v>0.97304517194064788</v>
      </c>
      <c r="V46" s="5">
        <f>$H$60*EXP($I$60*$R46)</f>
        <v>0.16225866059015426</v>
      </c>
      <c r="W46" s="5">
        <f>$H$61*EXP($I$61*$R46)</f>
        <v>8.5399753902911921E-2</v>
      </c>
      <c r="X46" s="5">
        <f>$H$62*EXP($I$62*$R46)</f>
        <v>9.615545298465554E-2</v>
      </c>
      <c r="Y46" s="5">
        <f>$H$63*EXP($I$63*$R46)</f>
        <v>0.14394609786585674</v>
      </c>
      <c r="Z46" s="5">
        <f>$H$64*EXP($I$64*$R46)</f>
        <v>0.25114700637514625</v>
      </c>
      <c r="AA46" s="5">
        <f>$H$65*EXP($I$65*$R46)</f>
        <v>0.47701894999748812</v>
      </c>
      <c r="AB46" s="5">
        <f>$H$66*EXP($I$66*$R46)</f>
        <v>0.45415067656189018</v>
      </c>
      <c r="AC46" s="5">
        <f>$H$67*EXP($I$67*$R46)</f>
        <v>0.42461194107900518</v>
      </c>
      <c r="AD46" s="5">
        <f>$H$68*EXP($I$68*$R46)</f>
        <v>0.61854139449523027</v>
      </c>
      <c r="AE46" s="5">
        <f>$H$69*EXP($I$69*$R46)</f>
        <v>0.6801192277394007</v>
      </c>
      <c r="AF46" s="5">
        <f>$H$70*EXP($I$70*$R46)</f>
        <v>0.96226124392307855</v>
      </c>
      <c r="AG46" s="5">
        <f>$H$71*EXP($I$71*$R46)</f>
        <v>0.91013109450501339</v>
      </c>
      <c r="AH46" s="5">
        <f ca="1">$H$72*EXP($I$72*$R46)</f>
        <v>2.960980174974948</v>
      </c>
      <c r="AI46" s="5"/>
      <c r="AJ46" s="5"/>
      <c r="AK46" s="6"/>
    </row>
    <row r="47" spans="1:37" x14ac:dyDescent="0.2">
      <c r="A47" s="4">
        <v>17</v>
      </c>
      <c r="B47" s="5">
        <f>F21*$C$2+K21*$H$2+P21*$M$2+U21*$R$2</f>
        <v>43</v>
      </c>
      <c r="C47" s="6">
        <f t="shared" si="6"/>
        <v>45.333333333333336</v>
      </c>
      <c r="D47" s="5"/>
      <c r="E47" s="4">
        <v>17</v>
      </c>
      <c r="F47" s="5">
        <f>(W21+1)/(X21+1)</f>
        <v>4.3478260869565216E-2</v>
      </c>
      <c r="G47" s="6">
        <f t="shared" si="7"/>
        <v>6.0967112597547383E-2</v>
      </c>
      <c r="H47" s="5"/>
      <c r="I47" s="4">
        <v>17</v>
      </c>
      <c r="J47" s="5">
        <f>(F21+D21+P21+N21+1)/(N21+D21+1)</f>
        <v>1</v>
      </c>
      <c r="K47" s="6">
        <f t="shared" si="8"/>
        <v>1</v>
      </c>
      <c r="L47" s="36"/>
      <c r="M47" s="4">
        <v>18</v>
      </c>
      <c r="N47" s="5">
        <v>2</v>
      </c>
      <c r="O47" s="6">
        <f ca="1">$H$75*EXP($I$75*M47)</f>
        <v>2.4301596882158005</v>
      </c>
      <c r="R47" s="4">
        <v>18</v>
      </c>
      <c r="S47" s="5">
        <f>$H$57*EXP($I$57*R47)</f>
        <v>0.98300197750716256</v>
      </c>
      <c r="T47" s="5">
        <f>$H$58*EXP($I$58*$R47)</f>
        <v>0.61447916319759766</v>
      </c>
      <c r="U47" s="5">
        <f>$H$59*EXP($I$59*$R47)</f>
        <v>0.73314811575954175</v>
      </c>
      <c r="V47" s="5">
        <f>$H$60*EXP($I$60*$R47)</f>
        <v>0.10849380306642856</v>
      </c>
      <c r="W47" s="5">
        <f>$H$61*EXP($I$61*$R47)</f>
        <v>5.4657265128227377E-2</v>
      </c>
      <c r="X47" s="5">
        <f>$H$62*EXP($I$62*$R47)</f>
        <v>6.2052520446916094E-2</v>
      </c>
      <c r="Y47" s="5">
        <f>$H$63*EXP($I$63*$R47)</f>
        <v>9.5609609827299991E-2</v>
      </c>
      <c r="Z47" s="5">
        <f>$H$64*EXP($I$64*$R47)</f>
        <v>0.17374690533246528</v>
      </c>
      <c r="AA47" s="5">
        <f>$H$65*EXP($I$65*$R47)</f>
        <v>0.34627431292969962</v>
      </c>
      <c r="AB47" s="5">
        <f>$H$66*EXP($I$66*$R47)</f>
        <v>0.3284304417840157</v>
      </c>
      <c r="AC47" s="5">
        <f>$H$67*EXP($I$67*$R47)</f>
        <v>0.30544271149140495</v>
      </c>
      <c r="AD47" s="5">
        <f>$H$68*EXP($I$68*$R47)</f>
        <v>0.45872570915396066</v>
      </c>
      <c r="AE47" s="5">
        <f>$H$69*EXP($I$69*$R47)</f>
        <v>0.50839825934395044</v>
      </c>
      <c r="AF47" s="5">
        <f>$H$70*EXP($I$70*$R47)</f>
        <v>0.74101981281757212</v>
      </c>
      <c r="AG47" s="5">
        <f>$H$71*EXP($I$71*$R47)</f>
        <v>0.69743935568426085</v>
      </c>
      <c r="AH47" s="5">
        <f ca="1">$H$72*EXP($I$72*$R47)</f>
        <v>2.4819464463636316</v>
      </c>
      <c r="AI47" s="5">
        <f ca="1">$H$73*EXP($I$73*$R47)</f>
        <v>2.3746590860578389</v>
      </c>
      <c r="AJ47" s="5"/>
      <c r="AK47" s="6"/>
    </row>
    <row r="48" spans="1:37" x14ac:dyDescent="0.2">
      <c r="A48" s="4">
        <v>18</v>
      </c>
      <c r="B48" s="5">
        <f>F22*$C$2+K22*$H$2+P22*$M$2+U22*$R$2</f>
        <v>28</v>
      </c>
      <c r="C48" s="6">
        <f t="shared" si="6"/>
        <v>28</v>
      </c>
      <c r="D48" s="5"/>
      <c r="E48" s="4">
        <v>18</v>
      </c>
      <c r="F48" s="5">
        <f>(W22+1)/(X22+1)</f>
        <v>6.25E-2</v>
      </c>
      <c r="G48" s="6">
        <f t="shared" si="7"/>
        <v>5.6159420289855072E-2</v>
      </c>
      <c r="H48" s="5"/>
      <c r="I48" s="4">
        <v>18</v>
      </c>
      <c r="J48" s="5">
        <f>(F22+D22+P22+N22+1)/(N22+D22+1)</f>
        <v>1</v>
      </c>
      <c r="K48" s="6">
        <f t="shared" si="8"/>
        <v>1</v>
      </c>
      <c r="L48" s="36"/>
      <c r="M48" s="4">
        <v>19</v>
      </c>
      <c r="N48" s="5">
        <v>4</v>
      </c>
      <c r="O48" s="6">
        <f ca="1">$H$75*EXP($I$75*M48)</f>
        <v>2.0328863185543611</v>
      </c>
      <c r="R48" s="4">
        <v>19</v>
      </c>
      <c r="S48" s="5">
        <f>$H$57*EXP($I$57*R48)</f>
        <v>0.75363484942215819</v>
      </c>
      <c r="T48" s="5">
        <f>$H$58*EXP($I$58*$R48)</f>
        <v>0.4580057265556719</v>
      </c>
      <c r="U48" s="5">
        <f>$H$59*EXP($I$59*$R48)</f>
        <v>0.55239589604022188</v>
      </c>
      <c r="V48" s="5">
        <f>$H$60*EXP($I$60*$R48)</f>
        <v>7.2544080303663272E-2</v>
      </c>
      <c r="W48" s="5">
        <f>$H$61*EXP($I$61*$R48)</f>
        <v>3.4981560189197118E-2</v>
      </c>
      <c r="X48" s="5">
        <f>$H$62*EXP($I$62*$R48)</f>
        <v>4.0044689867244534E-2</v>
      </c>
      <c r="Y48" s="5">
        <f>$H$63*EXP($I$63*$R48)</f>
        <v>6.3504309091082178E-2</v>
      </c>
      <c r="Z48" s="5">
        <f>$H$64*EXP($I$64*$R48)</f>
        <v>0.12020046564885538</v>
      </c>
      <c r="AA48" s="5">
        <f>$H$65*EXP($I$65*$R48)</f>
        <v>0.25136506588588747</v>
      </c>
      <c r="AB48" s="5">
        <f>$H$66*EXP($I$66*$R48)</f>
        <v>0.23751270372872391</v>
      </c>
      <c r="AC48" s="5">
        <f>$H$67*EXP($I$67*$R48)</f>
        <v>0.2197188561540307</v>
      </c>
      <c r="AD48" s="5">
        <f>$H$68*EXP($I$68*$R48)</f>
        <v>0.34020241508739801</v>
      </c>
      <c r="AE48" s="5">
        <f>$H$69*EXP($I$69*$R48)</f>
        <v>0.38003452859738213</v>
      </c>
      <c r="AF48" s="5">
        <f>$H$70*EXP($I$70*$R48)</f>
        <v>0.57064582664630736</v>
      </c>
      <c r="AG48" s="5">
        <f>$H$71*EXP($I$71*$R48)</f>
        <v>0.53445229790970206</v>
      </c>
      <c r="AH48" s="5">
        <f ca="1">$H$72*EXP($I$72*$R48)</f>
        <v>2.0804118226388262</v>
      </c>
      <c r="AI48" s="5">
        <f ca="1">$H$73*EXP($I$73*$R48)</f>
        <v>1.9829566582003173</v>
      </c>
      <c r="AJ48" s="5">
        <f ca="1">$H$74*EXP($I$74*$R48)</f>
        <v>2.2733099112561779</v>
      </c>
      <c r="AK48" s="6"/>
    </row>
    <row r="49" spans="1:37" x14ac:dyDescent="0.2">
      <c r="A49" s="4">
        <v>19</v>
      </c>
      <c r="B49" s="5">
        <f>F23*$C$2+K23*$H$2+P23*$M$2+U23*$R$2</f>
        <v>13</v>
      </c>
      <c r="C49" s="6">
        <f t="shared" si="6"/>
        <v>13.666666666666666</v>
      </c>
      <c r="D49" s="5"/>
      <c r="E49" s="4">
        <v>19</v>
      </c>
      <c r="F49" s="5">
        <f>(W23+1)/(X23+1)</f>
        <v>6.25E-2</v>
      </c>
      <c r="G49" s="6">
        <f t="shared" si="7"/>
        <v>6.5476190476190479E-2</v>
      </c>
      <c r="H49" s="5"/>
      <c r="I49" s="4">
        <v>19</v>
      </c>
      <c r="J49" s="5">
        <f>(F23+D23+P23+N23+1)/(N23+D23+1)</f>
        <v>1</v>
      </c>
      <c r="K49" s="6">
        <f t="shared" si="8"/>
        <v>1</v>
      </c>
      <c r="L49" s="36"/>
      <c r="M49" s="7">
        <v>20</v>
      </c>
      <c r="N49" s="8">
        <v>1</v>
      </c>
      <c r="O49" s="9">
        <f ca="1">$H$75*EXP($I$75*M49)</f>
        <v>1.7005577058187638</v>
      </c>
      <c r="R49" s="4">
        <v>20</v>
      </c>
      <c r="S49" s="5">
        <f>$H$57*EXP($I$57*R49)</f>
        <v>0.57778671789032143</v>
      </c>
      <c r="T49" s="5">
        <f>$H$58*EXP($I$58*$R49)</f>
        <v>0.34137731288755441</v>
      </c>
      <c r="U49" s="5">
        <f>$H$59*EXP($I$59*$R49)</f>
        <v>0.41620679287425194</v>
      </c>
      <c r="V49" s="5">
        <f>$H$60*EXP($I$60*$R49)</f>
        <v>4.8506397954195909E-2</v>
      </c>
      <c r="W49" s="5">
        <f>$H$61*EXP($I$61*$R49)</f>
        <v>2.2388781260818089E-2</v>
      </c>
      <c r="X49" s="5">
        <f>$H$62*EXP($I$62*$R49)</f>
        <v>2.5842257091484355E-2</v>
      </c>
      <c r="Y49" s="5">
        <f>$H$63*EXP($I$63*$R49)</f>
        <v>4.217983192714795E-2</v>
      </c>
      <c r="Z49" s="5">
        <f>$H$64*EXP($I$64*$R49)</f>
        <v>8.3156312422112424E-2</v>
      </c>
      <c r="AA49" s="5">
        <f>$H$65*EXP($I$65*$R49)</f>
        <v>0.18246919851847121</v>
      </c>
      <c r="AB49" s="5">
        <f>$H$66*EXP($I$66*$R49)</f>
        <v>0.17176326325324862</v>
      </c>
      <c r="AC49" s="5">
        <f>$H$67*EXP($I$67*$R49)</f>
        <v>0.15805378204611073</v>
      </c>
      <c r="AD49" s="5">
        <f>$H$68*EXP($I$68*$R49)</f>
        <v>0.25230258719258625</v>
      </c>
      <c r="AE49" s="5">
        <f>$H$69*EXP($I$69*$R49)</f>
        <v>0.28408091544728264</v>
      </c>
      <c r="AF49" s="5">
        <f>$H$70*EXP($I$70*$R49)</f>
        <v>0.43944393096681555</v>
      </c>
      <c r="AG49" s="5">
        <f>$H$71*EXP($I$71*$R49)</f>
        <v>0.40955425932440981</v>
      </c>
      <c r="AH49" s="5">
        <f ca="1">$H$72*EXP($I$72*$R49)</f>
        <v>1.7438383322559763</v>
      </c>
      <c r="AI49" s="5">
        <f ca="1">$H$73*EXP($I$73*$R49)</f>
        <v>1.6558659436157885</v>
      </c>
      <c r="AJ49" s="5">
        <f ca="1">$H$74*EXP($I$74*$R49)</f>
        <v>1.9194746844674837</v>
      </c>
      <c r="AK49" s="6">
        <f ca="1">$H$75*EXP($I$75*$R49)</f>
        <v>1.7005577058187638</v>
      </c>
    </row>
    <row r="50" spans="1:37" x14ac:dyDescent="0.2">
      <c r="A50" s="7">
        <v>20</v>
      </c>
      <c r="B50" s="8">
        <f>F24*$C$2+K24*$H$2+P24*$M$2+U24*$R$2</f>
        <v>0</v>
      </c>
      <c r="C50" s="9"/>
      <c r="D50" s="8"/>
      <c r="E50" s="7">
        <v>20</v>
      </c>
      <c r="F50" s="8">
        <f>(W24+1)/(X24+1)</f>
        <v>7.1428571428571425E-2</v>
      </c>
      <c r="G50" s="9"/>
      <c r="H50" s="8"/>
      <c r="I50" s="7">
        <v>20</v>
      </c>
      <c r="J50" s="8">
        <f>(F24+D24+P24+N24+1)/(N24+D24+1)</f>
        <v>1</v>
      </c>
      <c r="K50" s="9"/>
      <c r="L50" s="36"/>
      <c r="M50" s="5"/>
      <c r="N50" s="5"/>
      <c r="O50" s="5"/>
      <c r="R50" s="4">
        <v>21</v>
      </c>
      <c r="S50" s="5">
        <f>$H$57*EXP($I$57*R50)</f>
        <v>0.44296981704924621</v>
      </c>
      <c r="T50" s="5">
        <f>$H$58*EXP($I$58*$R50)</f>
        <v>0.25444762586426206</v>
      </c>
      <c r="U50" s="5">
        <f>$H$59*EXP($I$59*$R50)</f>
        <v>0.31359410103593027</v>
      </c>
      <c r="V50" s="5">
        <f>$H$60*EXP($I$60*$R50)</f>
        <v>3.2433668366073504E-2</v>
      </c>
      <c r="W50" s="5">
        <f>$H$61*EXP($I$61*$R50)</f>
        <v>1.4329192970059548E-2</v>
      </c>
      <c r="X50" s="5">
        <f>$H$62*EXP($I$62*$R50)</f>
        <v>1.6676924051511638E-2</v>
      </c>
      <c r="Y50" s="5">
        <f>$H$63*EXP($I$63*$R50)</f>
        <v>2.8016023587481082E-2</v>
      </c>
      <c r="Z50" s="5">
        <f>$H$64*EXP($I$64*$R50)</f>
        <v>5.7528664787745862E-2</v>
      </c>
      <c r="AA50" s="5">
        <f>$H$65*EXP($I$65*$R50)</f>
        <v>0.13245678467941222</v>
      </c>
      <c r="AB50" s="5">
        <f>$H$66*EXP($I$66*$R50)</f>
        <v>0.12421490783541966</v>
      </c>
      <c r="AC50" s="5">
        <f>$H$67*EXP($I$67*$R50)</f>
        <v>0.11369528522197898</v>
      </c>
      <c r="AD50" s="5">
        <f>$H$68*EXP($I$68*$R50)</f>
        <v>0.18711388479625934</v>
      </c>
      <c r="AE50" s="5">
        <f>$H$69*EXP($I$69*$R50)</f>
        <v>0.21235430059268073</v>
      </c>
      <c r="AF50" s="5">
        <f>$H$70*EXP($I$70*$R50)</f>
        <v>0.33840774688300601</v>
      </c>
      <c r="AG50" s="5">
        <f>$H$71*EXP($I$71*$R50)</f>
        <v>0.31384408297390326</v>
      </c>
      <c r="AH50" s="5">
        <f ca="1">$H$72*EXP($I$72*$R50)</f>
        <v>1.4617164236204394</v>
      </c>
      <c r="AI50" s="5">
        <f ca="1">$H$73*EXP($I$73*$R50)</f>
        <v>1.3827291745827057</v>
      </c>
      <c r="AJ50" s="5">
        <f ca="1">$H$74*EXP($I$74*$R50)</f>
        <v>1.6207130607527429</v>
      </c>
      <c r="AK50" s="6">
        <f ca="1">$H$75*EXP($I$75*$R50)</f>
        <v>1.4225569253061239</v>
      </c>
    </row>
    <row r="51" spans="1:37" x14ac:dyDescent="0.2">
      <c r="R51" s="4">
        <v>22</v>
      </c>
      <c r="S51" s="5">
        <f>$H$57*EXP($I$57*R51)</f>
        <v>0.33961019307108886</v>
      </c>
      <c r="T51" s="5">
        <f>$H$58*EXP($I$58*$R51)</f>
        <v>0.18965406271530791</v>
      </c>
      <c r="U51" s="5">
        <f>$H$59*EXP($I$59*$R51)</f>
        <v>0.23627980582778449</v>
      </c>
      <c r="V51" s="5">
        <f>$H$60*EXP($I$60*$R51)</f>
        <v>2.1686682335674109E-2</v>
      </c>
      <c r="W51" s="5">
        <f>$H$61*EXP($I$61*$R51)</f>
        <v>9.1709222034581494E-3</v>
      </c>
      <c r="X51" s="5">
        <f>$H$62*EXP($I$62*$R51)</f>
        <v>1.0762209927535082E-2</v>
      </c>
      <c r="Y51" s="5">
        <f>$H$63*EXP($I$63*$R51)</f>
        <v>1.8608361906466434E-2</v>
      </c>
      <c r="Z51" s="5">
        <f>$H$64*EXP($I$64*$R51)</f>
        <v>3.9799110564945832E-2</v>
      </c>
      <c r="AA51" s="5">
        <f>$H$65*EXP($I$65*$R51)</f>
        <v>9.6152117453577379E-2</v>
      </c>
      <c r="AB51" s="5">
        <f>$H$66*EXP($I$66*$R51)</f>
        <v>8.9829123156636187E-2</v>
      </c>
      <c r="AC51" s="5">
        <f>$H$67*EXP($I$67*$R51)</f>
        <v>8.1786197801555507E-2</v>
      </c>
      <c r="AD51" s="5">
        <f>$H$68*EXP($I$68*$R51)</f>
        <v>0.1387683189186758</v>
      </c>
      <c r="AE51" s="5">
        <f>$H$69*EXP($I$69*$R51)</f>
        <v>0.15873769242543434</v>
      </c>
      <c r="AF51" s="5">
        <f>$H$70*EXP($I$70*$R51)</f>
        <v>0.26060162646569951</v>
      </c>
      <c r="AG51" s="5">
        <f>$H$71*EXP($I$71*$R51)</f>
        <v>0.24050075460138109</v>
      </c>
      <c r="AH51" s="5">
        <f ca="1">$H$72*EXP($I$72*$R51)</f>
        <v>1.2252368029538738</v>
      </c>
      <c r="AI51" s="5">
        <f ca="1">$H$73*EXP($I$73*$R51)</f>
        <v>1.1546465929888101</v>
      </c>
      <c r="AJ51" s="5">
        <f ca="1">$H$74*EXP($I$74*$R51)</f>
        <v>1.3684529660901714</v>
      </c>
      <c r="AK51" s="6">
        <f ca="1">$H$75*EXP($I$75*$R51)</f>
        <v>1.1900026672497312</v>
      </c>
    </row>
    <row r="52" spans="1:37" x14ac:dyDescent="0.2">
      <c r="R52" s="4">
        <v>23</v>
      </c>
      <c r="S52" s="5">
        <f>$H$57*EXP($I$57*R52)</f>
        <v>0.26036781468783493</v>
      </c>
      <c r="T52" s="5">
        <f>$H$58*EXP($I$58*$R52)</f>
        <v>0.14135979214681232</v>
      </c>
      <c r="U52" s="5">
        <f>$H$59*EXP($I$59*$R52)</f>
        <v>0.178026775559847</v>
      </c>
      <c r="V52" s="5">
        <f>$H$60*EXP($I$60*$R52)</f>
        <v>1.4500739953930026E-2</v>
      </c>
      <c r="W52" s="5">
        <f>$H$61*EXP($I$61*$R52)</f>
        <v>5.8695429838664529E-3</v>
      </c>
      <c r="X52" s="5">
        <f>$H$62*EXP($I$62*$R52)</f>
        <v>6.9452353543479756E-3</v>
      </c>
      <c r="Y52" s="5">
        <f>$H$63*EXP($I$63*$R52)</f>
        <v>1.2359753044923967E-2</v>
      </c>
      <c r="Z52" s="5">
        <f>$H$64*EXP($I$64*$R52)</f>
        <v>2.7533564486589356E-2</v>
      </c>
      <c r="AA52" s="5">
        <f>$H$65*EXP($I$65*$R52)</f>
        <v>6.9798083300775804E-2</v>
      </c>
      <c r="AB52" s="5">
        <f>$H$66*EXP($I$66*$R52)</f>
        <v>6.496218133319076E-2</v>
      </c>
      <c r="AC52" s="5">
        <f>$H$67*EXP($I$67*$R52)</f>
        <v>5.8832537670982316E-2</v>
      </c>
      <c r="AD52" s="5">
        <f>$H$68*EXP($I$68*$R52)</f>
        <v>0.10291404273115858</v>
      </c>
      <c r="AE52" s="5">
        <f>$H$69*EXP($I$69*$R52)</f>
        <v>0.11865855754380839</v>
      </c>
      <c r="AF52" s="5">
        <f>$H$70*EXP($I$70*$R52)</f>
        <v>0.20068455389127618</v>
      </c>
      <c r="AG52" s="5">
        <f>$H$71*EXP($I$71*$R52)</f>
        <v>0.18429728677931881</v>
      </c>
      <c r="AH52" s="5">
        <f ca="1">$H$72*EXP($I$72*$R52)</f>
        <v>1.0270153629350232</v>
      </c>
      <c r="AI52" s="5">
        <f ca="1">$H$73*EXP($I$73*$R52)</f>
        <v>0.96418646486071036</v>
      </c>
      <c r="AJ52" s="5">
        <f ca="1">$H$74*EXP($I$74*$R52)</f>
        <v>1.1554565491878164</v>
      </c>
      <c r="AK52" s="6">
        <f ca="1">$H$75*EXP($I$75*$R52)</f>
        <v>0.99546550501431719</v>
      </c>
    </row>
    <row r="53" spans="1:37" x14ac:dyDescent="0.2">
      <c r="R53" s="4">
        <v>24</v>
      </c>
      <c r="S53" s="5">
        <f>$H$57*EXP($I$57*R53)</f>
        <v>0.19961532459400683</v>
      </c>
      <c r="T53" s="5">
        <f>$H$58*EXP($I$58*$R53)</f>
        <v>0.105363368175171</v>
      </c>
      <c r="U53" s="5">
        <f>$H$59*EXP($I$59*$R53)</f>
        <v>0.1341355970105054</v>
      </c>
      <c r="V53" s="5">
        <f>$H$60*EXP($I$60*$R53)</f>
        <v>9.6958795244402492E-3</v>
      </c>
      <c r="W53" s="5">
        <f>$H$61*EXP($I$61*$R53)</f>
        <v>3.7566052873575862E-3</v>
      </c>
      <c r="X53" s="5">
        <f>$H$62*EXP($I$62*$R53)</f>
        <v>4.4820064328863077E-3</v>
      </c>
      <c r="Y53" s="5">
        <f>$H$63*EXP($I$63*$R53)</f>
        <v>8.2094004888426924E-3</v>
      </c>
      <c r="Z53" s="5">
        <f>$H$64*EXP($I$64*$R53)</f>
        <v>1.9048093351234075E-2</v>
      </c>
      <c r="AA53" s="5">
        <f>$H$65*EXP($I$65*$R53)</f>
        <v>5.0667344219581537E-2</v>
      </c>
      <c r="AB53" s="5">
        <f>$H$66*EXP($I$66*$R53)</f>
        <v>4.6979029242083852E-2</v>
      </c>
      <c r="AC53" s="5">
        <f>$H$67*EXP($I$67*$R53)</f>
        <v>4.2320924335007115E-2</v>
      </c>
      <c r="AD53" s="5">
        <f>$H$68*EXP($I$68*$R53)</f>
        <v>7.6323618199033522E-2</v>
      </c>
      <c r="AE53" s="5">
        <f>$H$69*EXP($I$69*$R53)</f>
        <v>8.8698865803351512E-2</v>
      </c>
      <c r="AF53" s="5">
        <f>$H$70*EXP($I$70*$R53)</f>
        <v>0.15454351040223244</v>
      </c>
      <c r="AG53" s="5">
        <f>$H$71*EXP($I$71*$R53)</f>
        <v>0.14122820516931303</v>
      </c>
      <c r="AH53" s="5">
        <f ca="1">$H$72*EXP($I$72*$R53)</f>
        <v>0.86086261297544986</v>
      </c>
      <c r="AI53" s="5">
        <f ca="1">$H$73*EXP($I$73*$R53)</f>
        <v>0.80514292829130862</v>
      </c>
      <c r="AJ53" s="5">
        <f ca="1">$H$74*EXP($I$74*$R53)</f>
        <v>0.97561251292069906</v>
      </c>
      <c r="AK53" s="6">
        <f ca="1">$H$75*EXP($I$75*$R53)</f>
        <v>0.83273054670006941</v>
      </c>
    </row>
    <row r="54" spans="1:37" x14ac:dyDescent="0.2">
      <c r="R54" s="4">
        <v>25</v>
      </c>
      <c r="S54" s="5">
        <f>$H$57*EXP($I$57*R54)</f>
        <v>0.15303841552207195</v>
      </c>
      <c r="T54" s="5">
        <f>$H$58*EXP($I$58*$R54)</f>
        <v>7.8533217859340129E-2</v>
      </c>
      <c r="U54" s="5">
        <f>$H$59*EXP($I$59*$R54)</f>
        <v>0.10106546236532955</v>
      </c>
      <c r="V54" s="5">
        <f>$H$60*EXP($I$60*$R54)</f>
        <v>6.4831229338045597E-3</v>
      </c>
      <c r="W54" s="5">
        <f>$H$61*EXP($I$61*$R54)</f>
        <v>2.4042899632548344E-3</v>
      </c>
      <c r="X54" s="5">
        <f>$H$62*EXP($I$62*$R54)</f>
        <v>2.8923975415546051E-3</v>
      </c>
      <c r="Y54" s="5">
        <f>$H$63*EXP($I$63*$R54)</f>
        <v>5.4527186863081332E-3</v>
      </c>
      <c r="Z54" s="5">
        <f>$H$64*EXP($I$64*$R54)</f>
        <v>1.3177729330833651E-2</v>
      </c>
      <c r="AA54" s="5">
        <f>$H$65*EXP($I$65*$R54)</f>
        <v>3.6780089779872592E-2</v>
      </c>
      <c r="AB54" s="5">
        <f>$H$66*EXP($I$66*$R54)</f>
        <v>3.3974062188717548E-2</v>
      </c>
      <c r="AC54" s="5">
        <f>$H$67*EXP($I$67*$R54)</f>
        <v>3.0443368711813933E-2</v>
      </c>
      <c r="AD54" s="5">
        <f>$H$68*EXP($I$68*$R54)</f>
        <v>5.66034968639723E-2</v>
      </c>
      <c r="AE54" s="5">
        <f>$H$69*EXP($I$69*$R54)</f>
        <v>6.6303593753836987E-2</v>
      </c>
      <c r="AF54" s="5">
        <f>$H$70*EXP($I$70*$R54)</f>
        <v>0.11901113535815144</v>
      </c>
      <c r="AG54" s="5">
        <f>$H$71*EXP($I$71*$R54)</f>
        <v>0.10822408882898311</v>
      </c>
      <c r="AH54" s="5">
        <f ca="1">$H$72*EXP($I$72*$R54)</f>
        <v>0.72159041156018744</v>
      </c>
      <c r="AI54" s="5">
        <f ca="1">$H$73*EXP($I$73*$R54)</f>
        <v>0.6723337845975188</v>
      </c>
      <c r="AJ54" s="5">
        <f ca="1">$H$74*EXP($I$74*$R54)</f>
        <v>0.8237607688809121</v>
      </c>
      <c r="AK54" s="6">
        <f ca="1">$H$75*EXP($I$75*$R54)</f>
        <v>0.69659888757011534</v>
      </c>
    </row>
    <row r="55" spans="1:37" x14ac:dyDescent="0.2">
      <c r="A55" s="39" t="s">
        <v>17</v>
      </c>
      <c r="B55" s="40" t="s">
        <v>26</v>
      </c>
      <c r="C55" s="40" t="s">
        <v>25</v>
      </c>
      <c r="D55" s="40" t="s">
        <v>27</v>
      </c>
      <c r="E55" s="40" t="s">
        <v>20</v>
      </c>
      <c r="F55" s="40" t="s">
        <v>21</v>
      </c>
      <c r="G55" s="40" t="s">
        <v>22</v>
      </c>
      <c r="H55" s="40" t="s">
        <v>18</v>
      </c>
      <c r="I55" s="40" t="s">
        <v>19</v>
      </c>
      <c r="J55" s="40" t="s">
        <v>23</v>
      </c>
      <c r="K55" s="40" t="s">
        <v>24</v>
      </c>
      <c r="L55" s="40"/>
      <c r="M55" s="40" t="s">
        <v>32</v>
      </c>
      <c r="N55" s="41"/>
      <c r="R55" s="4">
        <v>26</v>
      </c>
      <c r="S55" s="5">
        <f>$H$57*EXP($I$57*R55)</f>
        <v>0.1173294519002552</v>
      </c>
      <c r="T55" s="5">
        <f>$H$58*EXP($I$58*$R55)</f>
        <v>5.8535204541761691E-2</v>
      </c>
      <c r="U55" s="5">
        <f>$H$59*EXP($I$59*$R55)</f>
        <v>7.6148523663840506E-2</v>
      </c>
      <c r="V55" s="5">
        <f>$H$60*EXP($I$60*$R55)</f>
        <v>4.3349221562495677E-3</v>
      </c>
      <c r="W55" s="5">
        <f>$H$61*EXP($I$61*$R55)</f>
        <v>1.5387856283070008E-3</v>
      </c>
      <c r="X55" s="5">
        <f>$H$62*EXP($I$62*$R55)</f>
        <v>1.866566606644435E-3</v>
      </c>
      <c r="Y55" s="5">
        <f>$H$63*EXP($I$63*$R55)</f>
        <v>3.6217189199652857E-3</v>
      </c>
      <c r="Z55" s="5">
        <f>$H$64*EXP($I$64*$R55)</f>
        <v>9.1165318814159825E-3</v>
      </c>
      <c r="AA55" s="5">
        <f>$H$65*EXP($I$65*$R55)</f>
        <v>2.6699149620963959E-2</v>
      </c>
      <c r="AB55" s="5">
        <f>$H$66*EXP($I$66*$R55)</f>
        <v>2.456919438788405E-2</v>
      </c>
      <c r="AC55" s="5">
        <f>$H$67*EXP($I$67*$R55)</f>
        <v>2.1899301895843024E-2</v>
      </c>
      <c r="AD55" s="5">
        <f>$H$68*EXP($I$68*$R55)</f>
        <v>4.1978563553873693E-2</v>
      </c>
      <c r="AE55" s="5">
        <f>$H$69*EXP($I$69*$R55)</f>
        <v>4.9562827042459665E-2</v>
      </c>
      <c r="AF55" s="5">
        <f>$H$70*EXP($I$70*$R55)</f>
        <v>9.1648302166634749E-2</v>
      </c>
      <c r="AG55" s="5">
        <f>$H$71*EXP($I$71*$R55)</f>
        <v>8.2932820599270735E-2</v>
      </c>
      <c r="AH55" s="5">
        <f ca="1">$H$72*EXP($I$72*$R55)</f>
        <v>0.60484996584518858</v>
      </c>
      <c r="AI55" s="5">
        <f ca="1">$H$73*EXP($I$73*$R55)</f>
        <v>0.56143164403186874</v>
      </c>
      <c r="AJ55" s="5">
        <f ca="1">$H$74*EXP($I$74*$R55)</f>
        <v>0.695544384025781</v>
      </c>
      <c r="AK55" s="6">
        <f ca="1">$H$75*EXP($I$75*$R55)</f>
        <v>0.58272152028872104</v>
      </c>
    </row>
    <row r="56" spans="1:37" x14ac:dyDescent="0.2">
      <c r="A56" s="4">
        <v>1</v>
      </c>
      <c r="B56" s="5">
        <f>W5</f>
        <v>90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6"/>
      <c r="R56" s="4">
        <v>27</v>
      </c>
      <c r="S56" s="5">
        <f>$H$57*EXP($I$57*R56)</f>
        <v>8.9952579790195678E-2</v>
      </c>
      <c r="T56" s="5">
        <f>$H$58*EXP($I$58*$R56)</f>
        <v>4.3629565477411196E-2</v>
      </c>
      <c r="U56" s="5">
        <f>$H$59*EXP($I$59*$R56)</f>
        <v>5.7374671034718223E-2</v>
      </c>
      <c r="V56" s="5">
        <f>$H$60*EXP($I$60*$R56)</f>
        <v>2.8985336685133263E-3</v>
      </c>
      <c r="W56" s="5">
        <f>$H$61*EXP($I$61*$R56)</f>
        <v>9.8484843595098145E-4</v>
      </c>
      <c r="X56" s="5">
        <f>$H$62*EXP($I$62*$R56)</f>
        <v>1.2045615607761521E-3</v>
      </c>
      <c r="Y56" s="5">
        <f>$H$63*EXP($I$63*$R56)</f>
        <v>2.405561095269986E-3</v>
      </c>
      <c r="Z56" s="5">
        <f>$H$64*EXP($I$64*$R56)</f>
        <v>6.3069404036405598E-3</v>
      </c>
      <c r="AA56" s="5">
        <f>$H$65*EXP($I$65*$R56)</f>
        <v>1.9381262926462816E-2</v>
      </c>
      <c r="AB56" s="5">
        <f>$H$66*EXP($I$66*$R56)</f>
        <v>1.7767828572177541E-2</v>
      </c>
      <c r="AC56" s="5">
        <f>$H$67*EXP($I$67*$R56)</f>
        <v>1.5753165428738086E-2</v>
      </c>
      <c r="AD56" s="5">
        <f>$H$68*EXP($I$68*$R56)</f>
        <v>3.11323486300056E-2</v>
      </c>
      <c r="AE56" s="5">
        <f>$H$69*EXP($I$69*$R56)</f>
        <v>3.7048879033025492E-2</v>
      </c>
      <c r="AF56" s="5">
        <f>$H$70*EXP($I$70*$R56)</f>
        <v>7.0576683977929003E-2</v>
      </c>
      <c r="AG56" s="5">
        <f>$H$71*EXP($I$71*$R56)</f>
        <v>6.3551957858654529E-2</v>
      </c>
      <c r="AH56" s="5">
        <f ca="1">$H$72*EXP($I$72*$R56)</f>
        <v>0.50699604002763454</v>
      </c>
      <c r="AI56" s="5">
        <f ca="1">$H$73*EXP($I$73*$R56)</f>
        <v>0.46882292418046445</v>
      </c>
      <c r="AJ56" s="5">
        <f ca="1">$H$74*EXP($I$74*$R56)</f>
        <v>0.5872845714745869</v>
      </c>
      <c r="AK56" s="6">
        <f ca="1">$H$75*EXP($I$75*$R56)</f>
        <v>0.48746039688933546</v>
      </c>
    </row>
    <row r="57" spans="1:37" x14ac:dyDescent="0.2">
      <c r="A57" s="4">
        <v>2</v>
      </c>
      <c r="B57" s="5">
        <f>W6</f>
        <v>69</v>
      </c>
      <c r="C57" s="5">
        <f>H57*EXP(I57*A57)</f>
        <v>69.000000000000071</v>
      </c>
      <c r="D57" s="5"/>
      <c r="E57" s="5">
        <f>COUNT($B$56:$B57)*VARP($B$56:$B57)</f>
        <v>220.5</v>
      </c>
      <c r="F57" s="30">
        <f t="shared" ref="F57:F74" si="9">E57-G57</f>
        <v>220.5</v>
      </c>
      <c r="G57" s="5">
        <f>SUMXMY2($B$56:$B57,$C$56:$C57)</f>
        <v>5.0487097934144756E-27</v>
      </c>
      <c r="H57" s="5">
        <f>M57</f>
        <v>117.39130434782615</v>
      </c>
      <c r="I57" s="5">
        <f>N57</f>
        <v>-0.26570316573300545</v>
      </c>
      <c r="J57" s="5">
        <f>F57/E57</f>
        <v>1</v>
      </c>
      <c r="K57" s="5">
        <f>SQRT(G57/COUNT($B$56:B57))</f>
        <v>5.0242958677880804E-14</v>
      </c>
      <c r="L57" s="5"/>
      <c r="M57" s="5">
        <f>EXP(INDEX(LINEST(LN(B$56:B57),A$56:A57),1,2))</f>
        <v>117.39130434782615</v>
      </c>
      <c r="N57" s="6">
        <f>INDEX(LINEST(LN(B$56:B57),A$56:A57),1)</f>
        <v>-0.26570316573300545</v>
      </c>
      <c r="R57" s="4">
        <v>28</v>
      </c>
      <c r="S57" s="5">
        <f>$H$57*EXP($I$57*R57)</f>
        <v>6.8963644505816657E-2</v>
      </c>
      <c r="T57" s="5">
        <f>$H$58*EXP($I$58*$R57)</f>
        <v>3.2519558078756505E-2</v>
      </c>
      <c r="U57" s="5">
        <f>$H$59*EXP($I$59*$R57)</f>
        <v>4.3229372257748568E-2</v>
      </c>
      <c r="V57" s="5">
        <f>$H$60*EXP($I$60*$R57)</f>
        <v>1.9380964927808609E-3</v>
      </c>
      <c r="W57" s="5">
        <f>$H$61*EXP($I$61*$R57)</f>
        <v>6.3031940508973081E-4</v>
      </c>
      <c r="X57" s="5">
        <f>$H$62*EXP($I$62*$R57)</f>
        <v>7.7734625088355053E-4</v>
      </c>
      <c r="Y57" s="5">
        <f>$H$63*EXP($I$63*$R57)</f>
        <v>1.5977839006711219E-3</v>
      </c>
      <c r="Z57" s="5">
        <f>$H$64*EXP($I$64*$R57)</f>
        <v>4.3632269126552426E-3</v>
      </c>
      <c r="AA57" s="5">
        <f>$H$65*EXP($I$65*$R57)</f>
        <v>1.4069112985146829E-2</v>
      </c>
      <c r="AB57" s="5">
        <f>$H$66*EXP($I$66*$R57)</f>
        <v>1.2849250455113412E-2</v>
      </c>
      <c r="AC57" s="5">
        <f>$H$67*EXP($I$67*$R57)</f>
        <v>1.1331969494073049E-2</v>
      </c>
      <c r="AD57" s="5">
        <f>$H$68*EXP($I$68*$R57)</f>
        <v>2.3088525408363401E-2</v>
      </c>
      <c r="AE57" s="5">
        <f>$H$69*EXP($I$69*$R57)</f>
        <v>2.7694534785674275E-2</v>
      </c>
      <c r="AF57" s="5">
        <f>$H$70*EXP($I$70*$R57)</f>
        <v>5.4349815583750724E-2</v>
      </c>
      <c r="AG57" s="5">
        <f>$H$71*EXP($I$71*$R57)</f>
        <v>4.8700277145809705E-2</v>
      </c>
      <c r="AH57" s="5">
        <f ca="1">$H$72*EXP($I$72*$R57)</f>
        <v>0.42497313237758094</v>
      </c>
      <c r="AI57" s="5">
        <f ca="1">$H$73*EXP($I$73*$R57)</f>
        <v>0.39149010671839685</v>
      </c>
      <c r="AJ57" s="5">
        <f ca="1">$H$74*EXP($I$74*$R57)</f>
        <v>0.49587513868749039</v>
      </c>
      <c r="AK57" s="6">
        <f ca="1">$H$75*EXP($I$75*$R57)</f>
        <v>0.40777220380976531</v>
      </c>
    </row>
    <row r="58" spans="1:37" x14ac:dyDescent="0.2">
      <c r="A58" s="4">
        <v>3</v>
      </c>
      <c r="B58" s="5">
        <f>IF(W7=0, AVERAGE(B57,B59), W7)</f>
        <v>50</v>
      </c>
      <c r="C58" s="5">
        <f>H58*EXP(I58*A58)</f>
        <v>50.472050502257474</v>
      </c>
      <c r="D58" s="5"/>
      <c r="E58" s="5">
        <f>COUNT($B$56:$B58)*VARP($B$56:$B58)</f>
        <v>800.66666666666674</v>
      </c>
      <c r="F58" s="30">
        <f t="shared" si="9"/>
        <v>800.44383498998525</v>
      </c>
      <c r="G58" s="5">
        <f>SUMXMY2($B$56:$B58,$C$56:$C58)</f>
        <v>0.22283167668153359</v>
      </c>
      <c r="H58" s="5">
        <f t="shared" ref="H58:H75" si="10">M58</f>
        <v>121.88765075779816</v>
      </c>
      <c r="I58" s="5">
        <f t="shared" ref="I58:I75" si="11">N58</f>
        <v>-0.29389333245105959</v>
      </c>
      <c r="J58" s="5">
        <f t="shared" ref="J58:J75" si="12">F58/E58</f>
        <v>0.99972169232720876</v>
      </c>
      <c r="K58" s="5">
        <f>SQRT(G58/COUNT($B$56:B58))</f>
        <v>0.27253848454945073</v>
      </c>
      <c r="L58" s="5"/>
      <c r="M58" s="5">
        <f>EXP(INDEX(LINEST(LN(B$56:B58),A$56:A58),1,2))</f>
        <v>121.88765075779816</v>
      </c>
      <c r="N58" s="6">
        <f>INDEX(LINEST(LN(B$56:B58),A$56:A58),1)</f>
        <v>-0.29389333245105959</v>
      </c>
      <c r="R58" s="4">
        <v>29</v>
      </c>
      <c r="S58" s="5">
        <f>$H$57*EXP($I$57*R58)</f>
        <v>5.2872127454459454E-2</v>
      </c>
      <c r="T58" s="5">
        <f>$H$58*EXP($I$58*$R58)</f>
        <v>2.4238647487450634E-2</v>
      </c>
      <c r="U58" s="5">
        <f>$H$59*EXP($I$59*$R58)</f>
        <v>3.2571491776714069E-2</v>
      </c>
      <c r="V58" s="5">
        <f>$H$60*EXP($I$60*$R58)</f>
        <v>1.295902840851268E-3</v>
      </c>
      <c r="W58" s="5">
        <f>$H$61*EXP($I$61*$R58)</f>
        <v>4.0341491942263313E-4</v>
      </c>
      <c r="X58" s="5">
        <f>$H$62*EXP($I$62*$R58)</f>
        <v>5.0164907584578295E-4</v>
      </c>
      <c r="Y58" s="5">
        <f>$H$63*EXP($I$63*$R58)</f>
        <v>1.0612548557854444E-3</v>
      </c>
      <c r="Z58" s="5">
        <f>$H$64*EXP($I$64*$R58)</f>
        <v>3.018539556887175E-3</v>
      </c>
      <c r="AA58" s="5">
        <f>$H$65*EXP($I$65*$R58)</f>
        <v>1.0212953662506892E-2</v>
      </c>
      <c r="AB58" s="5">
        <f>$H$66*EXP($I$66*$R58)</f>
        <v>9.2922574408876111E-3</v>
      </c>
      <c r="AC58" s="5">
        <f>$H$67*EXP($I$67*$R58)</f>
        <v>8.1516018603055192E-3</v>
      </c>
      <c r="AD58" s="5">
        <f>$H$68*EXP($I$68*$R58)</f>
        <v>1.7123025694850913E-2</v>
      </c>
      <c r="AE58" s="5">
        <f>$H$69*EXP($I$69*$R58)</f>
        <v>2.0702036796072212E-2</v>
      </c>
      <c r="AF58" s="5">
        <f>$H$70*EXP($I$70*$R58)</f>
        <v>4.1853800540012163E-2</v>
      </c>
      <c r="AG58" s="5">
        <f>$H$71*EXP($I$71*$R58)</f>
        <v>3.7319337971516105E-2</v>
      </c>
      <c r="AH58" s="5">
        <f ca="1">$H$72*EXP($I$72*$R58)</f>
        <v>0.35622006679375434</v>
      </c>
      <c r="AI58" s="5">
        <f ca="1">$H$73*EXP($I$73*$R58)</f>
        <v>0.32691341603292773</v>
      </c>
      <c r="AJ58" s="5">
        <f ca="1">$H$74*EXP($I$74*$R58)</f>
        <v>0.41869336453184575</v>
      </c>
      <c r="AK58" s="6">
        <f ca="1">$H$75*EXP($I$75*$R58)</f>
        <v>0.34111113694764766</v>
      </c>
    </row>
    <row r="59" spans="1:37" x14ac:dyDescent="0.2">
      <c r="A59" s="4">
        <v>4</v>
      </c>
      <c r="B59" s="5">
        <f>IF(W8=0, AVERAGE(B58,B60), W8)</f>
        <v>39</v>
      </c>
      <c r="C59" s="5">
        <f>H59*EXP(I59*A59)</f>
        <v>38.580658310743644</v>
      </c>
      <c r="D59" s="5"/>
      <c r="E59" s="5">
        <f>COUNT($B$56:$B59)*VARP($B$56:$B59)</f>
        <v>1506</v>
      </c>
      <c r="F59" s="30">
        <f t="shared" si="9"/>
        <v>1505.6013208709701</v>
      </c>
      <c r="G59" s="5">
        <f>SUMXMY2($B$56:$B59,$C$56:$C59)</f>
        <v>0.39867912902990799</v>
      </c>
      <c r="H59" s="5">
        <f t="shared" si="10"/>
        <v>119.71119091701185</v>
      </c>
      <c r="I59" s="5">
        <f t="shared" si="11"/>
        <v>-0.28308275717709702</v>
      </c>
      <c r="J59" s="5">
        <f t="shared" si="12"/>
        <v>0.99973527282268926</v>
      </c>
      <c r="K59" s="5">
        <f>SQRT(G59/COUNT($B$56:B59))</f>
        <v>0.31570521417530784</v>
      </c>
      <c r="L59" s="5"/>
      <c r="M59" s="5">
        <f>EXP(INDEX(LINEST(LN(B$56:B59),A$56:A59),1,2))</f>
        <v>119.71119091701185</v>
      </c>
      <c r="N59" s="6">
        <f>INDEX(LINEST(LN(B$56:B59),A$56:A59),1)</f>
        <v>-0.28308275717709702</v>
      </c>
      <c r="R59" s="4">
        <v>30</v>
      </c>
      <c r="S59" s="5">
        <f>$H$57*EXP($I$57*R59)</f>
        <v>4.05352977150856E-2</v>
      </c>
      <c r="T59" s="5">
        <f>$H$58*EXP($I$58*$R59)</f>
        <v>1.80664211548647E-2</v>
      </c>
      <c r="U59" s="5">
        <f>$H$59*EXP($I$59*$R59)</f>
        <v>2.4541232526697029E-2</v>
      </c>
      <c r="V59" s="5">
        <f>$H$60*EXP($I$60*$R59)</f>
        <v>8.6650183785058382E-4</v>
      </c>
      <c r="W59" s="5">
        <f>$H$61*EXP($I$61*$R59)</f>
        <v>2.5819226871113393E-4</v>
      </c>
      <c r="X59" s="5">
        <f>$H$62*EXP($I$62*$R59)</f>
        <v>3.2373192127818797E-4</v>
      </c>
      <c r="Y59" s="5">
        <f>$H$63*EXP($I$63*$R59)</f>
        <v>7.0488998446856265E-4</v>
      </c>
      <c r="Z59" s="5">
        <f>$H$64*EXP($I$64*$R59)</f>
        <v>2.0882666060903503E-3</v>
      </c>
      <c r="AA59" s="5">
        <f>$H$65*EXP($I$65*$R59)</f>
        <v>7.41371702840328E-3</v>
      </c>
      <c r="AB59" s="5">
        <f>$H$66*EXP($I$66*$R59)</f>
        <v>6.7199288121408867E-3</v>
      </c>
      <c r="AC59" s="5">
        <f>$H$67*EXP($I$67*$R59)</f>
        <v>5.8638185466075394E-3</v>
      </c>
      <c r="AD59" s="5">
        <f>$H$68*EXP($I$68*$R59)</f>
        <v>1.269886247652346E-2</v>
      </c>
      <c r="AE59" s="5">
        <f>$H$69*EXP($I$69*$R59)</f>
        <v>1.5475050612788014E-2</v>
      </c>
      <c r="AF59" s="5">
        <f>$H$70*EXP($I$70*$R59)</f>
        <v>3.2230847535145074E-2</v>
      </c>
      <c r="AG59" s="5">
        <f>$H$71*EXP($I$71*$R59)</f>
        <v>2.8598050529822838E-2</v>
      </c>
      <c r="AH59" s="5">
        <f ca="1">$H$72*EXP($I$72*$R59)</f>
        <v>0.29859001974224786</v>
      </c>
      <c r="AI59" s="5">
        <f ca="1">$H$73*EXP($I$73*$R59)</f>
        <v>0.27298871605762559</v>
      </c>
      <c r="AJ59" s="5">
        <f ca="1">$H$74*EXP($I$74*$R59)</f>
        <v>0.35352474811905582</v>
      </c>
      <c r="AK59" s="6">
        <f ca="1">$H$75*EXP($I$75*$R59)</f>
        <v>0.28534757068434174</v>
      </c>
    </row>
    <row r="60" spans="1:37" x14ac:dyDescent="0.2">
      <c r="A60" s="4">
        <v>5</v>
      </c>
      <c r="B60" s="5">
        <f>IF(W9=0, AVERAGE(B59,B61), W9)</f>
        <v>16</v>
      </c>
      <c r="C60" s="5">
        <f t="shared" ref="C60:C72" si="13">H60*EXP(I60*A60)</f>
        <v>20.316239849598837</v>
      </c>
      <c r="D60" s="5"/>
      <c r="E60" s="5">
        <f>COUNT($B$56:$B60)*VARP($B$56:$B60)</f>
        <v>3198.8</v>
      </c>
      <c r="F60" s="30">
        <f t="shared" si="9"/>
        <v>3179.7713944317052</v>
      </c>
      <c r="G60" s="5">
        <f>SUMXMY2($B$56:$B60,$C$56:$C60)</f>
        <v>19.0286055682949</v>
      </c>
      <c r="H60" s="5">
        <f t="shared" si="10"/>
        <v>152.00507920944554</v>
      </c>
      <c r="I60" s="5">
        <f t="shared" si="11"/>
        <v>-0.40249867546485812</v>
      </c>
      <c r="J60" s="5">
        <f t="shared" si="12"/>
        <v>0.99405133000866108</v>
      </c>
      <c r="K60" s="5">
        <f>SQRT(G60/COUNT($B$56:B60))</f>
        <v>1.9508257517418055</v>
      </c>
      <c r="L60" s="5"/>
      <c r="M60" s="5">
        <f>EXP(INDEX(LINEST(LN(B$56:B60),A$56:A60),1,2))</f>
        <v>152.00507920944554</v>
      </c>
      <c r="N60" s="6">
        <f>INDEX(LINEST(LN(B$56:B60),A$56:A60),1)</f>
        <v>-0.40249867546485812</v>
      </c>
      <c r="R60" s="4">
        <v>31</v>
      </c>
      <c r="S60" s="5">
        <f>$H$57*EXP($I$57*R60)</f>
        <v>3.107706158156566E-2</v>
      </c>
      <c r="T60" s="5">
        <f>$H$58*EXP($I$58*$R60)</f>
        <v>1.3465915270805913E-2</v>
      </c>
      <c r="U60" s="5">
        <f>$H$59*EXP($I$59*$R60)</f>
        <v>1.8490774019751407E-2</v>
      </c>
      <c r="V60" s="5">
        <f>$H$60*EXP($I$60*$R60)</f>
        <v>5.7938404896560746E-4</v>
      </c>
      <c r="W60" s="5">
        <f>$H$61*EXP($I$61*$R60)</f>
        <v>1.6524735306669032E-4</v>
      </c>
      <c r="X60" s="5">
        <f>$H$62*EXP($I$62*$R60)</f>
        <v>2.0891567811177518E-4</v>
      </c>
      <c r="Y60" s="5">
        <f>$H$63*EXP($I$63*$R60)</f>
        <v>4.6819092275092737E-4</v>
      </c>
      <c r="Z60" s="5">
        <f>$H$64*EXP($I$64*$R60)</f>
        <v>1.4446911613804302E-3</v>
      </c>
      <c r="AA60" s="5">
        <f>$H$65*EXP($I$65*$R60)</f>
        <v>5.3817144377159027E-3</v>
      </c>
      <c r="AB60" s="5">
        <f>$H$66*EXP($I$66*$R60)</f>
        <v>4.8596849073014705E-3</v>
      </c>
      <c r="AC60" s="5">
        <f>$H$67*EXP($I$67*$R60)</f>
        <v>4.2181117940725699E-3</v>
      </c>
      <c r="AD60" s="5">
        <f>$H$68*EXP($I$68*$R60)</f>
        <v>9.417792805517345E-3</v>
      </c>
      <c r="AE60" s="5">
        <f>$H$69*EXP($I$69*$R60)</f>
        <v>1.1567808222318813E-2</v>
      </c>
      <c r="AF60" s="5">
        <f>$H$70*EXP($I$70*$R60)</f>
        <v>2.4820387143591669E-2</v>
      </c>
      <c r="AG60" s="5">
        <f>$H$71*EXP($I$71*$R60)</f>
        <v>2.1914871446286698E-2</v>
      </c>
      <c r="AH60" s="5">
        <f ca="1">$H$72*EXP($I$72*$R60)</f>
        <v>0.2502834854087429</v>
      </c>
      <c r="AI60" s="5">
        <f ca="1">$H$73*EXP($I$73*$R60)</f>
        <v>0.22795895010709757</v>
      </c>
      <c r="AJ60" s="5">
        <f ca="1">$H$74*EXP($I$74*$R60)</f>
        <v>0.29849947030420643</v>
      </c>
      <c r="AK60" s="6">
        <f ca="1">$H$75*EXP($I$75*$R60)</f>
        <v>0.23870002259103004</v>
      </c>
    </row>
    <row r="61" spans="1:37" x14ac:dyDescent="0.2">
      <c r="A61" s="4">
        <v>6</v>
      </c>
      <c r="B61" s="5">
        <f>IF(W10=0, AVERAGE(B60,B62), W10)</f>
        <v>10</v>
      </c>
      <c r="C61" s="5">
        <f t="shared" si="13"/>
        <v>11.570511565703249</v>
      </c>
      <c r="D61" s="5"/>
      <c r="E61" s="5">
        <f>COUNT($B$56:$B61)*VARP($B$56:$B61)</f>
        <v>4725.333333333333</v>
      </c>
      <c r="F61" s="30">
        <f t="shared" si="9"/>
        <v>4703.8382211870303</v>
      </c>
      <c r="G61" s="5">
        <f>SUMXMY2($B$56:$B61,$C$56:$C61)</f>
        <v>21.495112146302571</v>
      </c>
      <c r="H61" s="5">
        <f t="shared" si="10"/>
        <v>168.34681046852953</v>
      </c>
      <c r="I61" s="5">
        <f t="shared" si="11"/>
        <v>-0.446261074087201</v>
      </c>
      <c r="J61" s="5">
        <f t="shared" si="12"/>
        <v>0.99545109082682648</v>
      </c>
      <c r="K61" s="5">
        <f>SQRT(G61/COUNT($B$56:B61))</f>
        <v>1.8927542606081826</v>
      </c>
      <c r="L61" s="5"/>
      <c r="M61" s="5">
        <f>EXP(INDEX(LINEST(LN(B$56:B61),A$56:A61),1,2))</f>
        <v>168.34681046852953</v>
      </c>
      <c r="N61" s="6">
        <f>INDEX(LINEST(LN(B$56:B61),A$56:A61),1)</f>
        <v>-0.446261074087201</v>
      </c>
      <c r="R61" s="4">
        <v>32</v>
      </c>
      <c r="S61" s="5">
        <f>$H$57*EXP($I$57*R61)</f>
        <v>2.3825747212533662E-2</v>
      </c>
      <c r="T61" s="5">
        <f>$H$58*EXP($I$58*$R61)</f>
        <v>1.0036900641591505E-2</v>
      </c>
      <c r="U61" s="5">
        <f>$H$59*EXP($I$59*$R61)</f>
        <v>1.3932011095105798E-2</v>
      </c>
      <c r="V61" s="5">
        <f>$H$60*EXP($I$60*$R61)</f>
        <v>3.8740353630232593E-4</v>
      </c>
      <c r="W61" s="5">
        <f>$H$61*EXP($I$61*$R61)</f>
        <v>1.0576105873293297E-4</v>
      </c>
      <c r="X61" s="5">
        <f>$H$62*EXP($I$62*$R61)</f>
        <v>1.3482068863823065E-4</v>
      </c>
      <c r="Y61" s="5">
        <f>$H$63*EXP($I$63*$R61)</f>
        <v>3.1097440022733228E-4</v>
      </c>
      <c r="Z61" s="5">
        <f>$H$64*EXP($I$64*$R61)</f>
        <v>9.9945693987716581E-4</v>
      </c>
      <c r="AA61" s="5">
        <f>$H$65*EXP($I$65*$R61)</f>
        <v>3.9066571030642082E-3</v>
      </c>
      <c r="AB61" s="5">
        <f>$H$66*EXP($I$66*$R61)</f>
        <v>3.5144029138501789E-3</v>
      </c>
      <c r="AC61" s="5">
        <f>$H$67*EXP($I$67*$R61)</f>
        <v>3.0342799603831124E-3</v>
      </c>
      <c r="AD61" s="5">
        <f>$H$68*EXP($I$68*$R61)</f>
        <v>6.9844697894496802E-3</v>
      </c>
      <c r="AE61" s="5">
        <f>$H$69*EXP($I$69*$R61)</f>
        <v>8.6470920461977421E-3</v>
      </c>
      <c r="AF61" s="5">
        <f>$H$70*EXP($I$70*$R61)</f>
        <v>1.9113726912890431E-2</v>
      </c>
      <c r="AG61" s="5">
        <f>$H$71*EXP($I$71*$R61)</f>
        <v>1.6793508005255163E-2</v>
      </c>
      <c r="AH61" s="5">
        <f ca="1">$H$72*EXP($I$72*$R61)</f>
        <v>0.20979208589229714</v>
      </c>
      <c r="AI61" s="5">
        <f ca="1">$H$73*EXP($I$73*$R61)</f>
        <v>0.19035688978060444</v>
      </c>
      <c r="AJ61" s="5">
        <f ca="1">$H$74*EXP($I$74*$R61)</f>
        <v>0.25203874480064703</v>
      </c>
      <c r="AK61" s="6">
        <f ca="1">$H$75*EXP($I$75*$R61)</f>
        <v>0.19967824028888725</v>
      </c>
    </row>
    <row r="62" spans="1:37" x14ac:dyDescent="0.2">
      <c r="A62" s="4">
        <v>7</v>
      </c>
      <c r="B62" s="5">
        <f>IF(W11=0, AVERAGE(B61,B63), W11)</f>
        <v>8</v>
      </c>
      <c r="C62" s="5">
        <f t="shared" si="13"/>
        <v>7.675714915497359</v>
      </c>
      <c r="D62" s="5"/>
      <c r="E62" s="5">
        <f>COUNT($B$56:$B62)*VARP($B$56:$B62)</f>
        <v>5941.4285714285716</v>
      </c>
      <c r="F62" s="30">
        <f t="shared" si="9"/>
        <v>5919.8282984662383</v>
      </c>
      <c r="G62" s="5">
        <f>SUMXMY2($B$56:$B62,$C$56:$C62)</f>
        <v>21.600272962333456</v>
      </c>
      <c r="H62" s="5">
        <f t="shared" si="10"/>
        <v>164.67219664507067</v>
      </c>
      <c r="I62" s="5">
        <f t="shared" si="11"/>
        <v>-0.43798505329807413</v>
      </c>
      <c r="J62" s="5">
        <f t="shared" si="12"/>
        <v>0.99636446475748175</v>
      </c>
      <c r="K62" s="5">
        <f>SQRT(G62/COUNT($B$56:B62))</f>
        <v>1.7566312306040077</v>
      </c>
      <c r="L62" s="5"/>
      <c r="M62" s="5">
        <f>EXP(INDEX(LINEST(LN(B$56:B62),A$56:A62),1,2))</f>
        <v>164.67219664507067</v>
      </c>
      <c r="N62" s="6">
        <f>INDEX(LINEST(LN(B$56:B62),A$56:A62),1)</f>
        <v>-0.43798505329807413</v>
      </c>
      <c r="R62" s="4">
        <v>33</v>
      </c>
      <c r="S62" s="5">
        <f>$H$57*EXP($I$57*R62)</f>
        <v>1.8266406196275797E-2</v>
      </c>
      <c r="T62" s="5">
        <f>$H$58*EXP($I$58*$R62)</f>
        <v>7.4810640393366207E-3</v>
      </c>
      <c r="U62" s="5">
        <f>$H$59*EXP($I$59*$R62)</f>
        <v>1.0497177292135904E-2</v>
      </c>
      <c r="V62" s="5">
        <f>$H$60*EXP($I$60*$R62)</f>
        <v>2.5903629933805188E-4</v>
      </c>
      <c r="W62" s="5">
        <f>$H$61*EXP($I$61*$R62)</f>
        <v>6.7688839407894829E-5</v>
      </c>
      <c r="X62" s="5">
        <f>$H$62*EXP($I$62*$R62)</f>
        <v>8.7004566862434267E-5</v>
      </c>
      <c r="Y62" s="5">
        <f>$H$63*EXP($I$63*$R62)</f>
        <v>2.0655051795652845E-4</v>
      </c>
      <c r="Z62" s="5">
        <f>$H$64*EXP($I$64*$R62)</f>
        <v>6.9143786670235251E-4</v>
      </c>
      <c r="AA62" s="5">
        <f>$H$65*EXP($I$65*$R62)</f>
        <v>2.8358936353002576E-3</v>
      </c>
      <c r="AB62" s="5">
        <f>$H$66*EXP($I$66*$R62)</f>
        <v>2.5415285304447887E-3</v>
      </c>
      <c r="AC62" s="5">
        <f>$H$67*EXP($I$67*$R62)</f>
        <v>2.1826957955264057E-3</v>
      </c>
      <c r="AD62" s="5">
        <f>$H$68*EXP($I$68*$R62)</f>
        <v>5.1798568143436126E-3</v>
      </c>
      <c r="AE62" s="5">
        <f>$H$69*EXP($I$69*$R62)</f>
        <v>6.4638174681312163E-3</v>
      </c>
      <c r="AF62" s="5">
        <f>$H$70*EXP($I$70*$R62)</f>
        <v>1.4719132074250385E-2</v>
      </c>
      <c r="AG62" s="5">
        <f>$H$71*EXP($I$71*$R62)</f>
        <v>1.2868974012181835E-2</v>
      </c>
      <c r="AH62" s="5">
        <f ca="1">$H$72*EXP($I$72*$R62)</f>
        <v>0.17585147190659803</v>
      </c>
      <c r="AI62" s="5">
        <f ca="1">$H$73*EXP($I$73*$R62)</f>
        <v>0.15895732749217015</v>
      </c>
      <c r="AJ62" s="5">
        <f ca="1">$H$74*EXP($I$74*$R62)</f>
        <v>0.21280951961471714</v>
      </c>
      <c r="AK62" s="6">
        <f ca="1">$H$75*EXP($I$75*$R62)</f>
        <v>0.1670355922553855</v>
      </c>
    </row>
    <row r="63" spans="1:37" x14ac:dyDescent="0.2">
      <c r="A63" s="4">
        <v>8</v>
      </c>
      <c r="B63" s="5">
        <f>IF(W12=0, AVERAGE(B62,B64), W12)</f>
        <v>7</v>
      </c>
      <c r="C63" s="5">
        <f t="shared" si="13"/>
        <v>5.7211726113205472</v>
      </c>
      <c r="D63" s="5"/>
      <c r="E63" s="5">
        <f>COUNT($B$56:$B63)*VARP($B$56:$B63)</f>
        <v>6910.875</v>
      </c>
      <c r="F63" s="30">
        <f t="shared" si="9"/>
        <v>6887.6393275476303</v>
      </c>
      <c r="G63" s="5">
        <f>SUMXMY2($B$56:$B63,$C$56:$C63)</f>
        <v>23.235672452370164</v>
      </c>
      <c r="H63" s="5">
        <f t="shared" si="10"/>
        <v>151.03300206638775</v>
      </c>
      <c r="I63" s="5">
        <f t="shared" si="11"/>
        <v>-0.40916557291314215</v>
      </c>
      <c r="J63" s="5">
        <f t="shared" si="12"/>
        <v>0.99663781034205223</v>
      </c>
      <c r="K63" s="5">
        <f>SQRT(G63/COUNT($B$56:B63))</f>
        <v>1.7042473577935424</v>
      </c>
      <c r="L63" s="5"/>
      <c r="M63" s="5">
        <f>EXP(INDEX(LINEST(LN(B$56:B63),A$56:A63),1,2))</f>
        <v>151.03300206638775</v>
      </c>
      <c r="N63" s="6">
        <f>INDEX(LINEST(LN(B$56:B63),A$56:A63),1)</f>
        <v>-0.40916557291314215</v>
      </c>
      <c r="R63" s="4">
        <v>34</v>
      </c>
      <c r="S63" s="5">
        <f>$H$57*EXP($I$57*R63)</f>
        <v>1.4004244750478128E-2</v>
      </c>
      <c r="T63" s="5">
        <f>$H$58*EXP($I$58*$R63)</f>
        <v>5.576055911995283E-3</v>
      </c>
      <c r="U63" s="5">
        <f>$H$59*EXP($I$59*$R63)</f>
        <v>7.9091762381127157E-3</v>
      </c>
      <c r="V63" s="5">
        <f>$H$60*EXP($I$60*$R63)</f>
        <v>1.732039026158731E-4</v>
      </c>
      <c r="W63" s="5">
        <f>$H$61*EXP($I$61*$R63)</f>
        <v>4.332198481444519E-5</v>
      </c>
      <c r="X63" s="5">
        <f>$H$62*EXP($I$62*$R63)</f>
        <v>5.6147129430796169E-5</v>
      </c>
      <c r="Y63" s="5">
        <f>$H$63*EXP($I$63*$R63)</f>
        <v>1.371917316567604E-4</v>
      </c>
      <c r="Z63" s="5">
        <f>$H$64*EXP($I$64*$R63)</f>
        <v>4.7834609419857287E-4</v>
      </c>
      <c r="AA63" s="5">
        <f>$H$65*EXP($I$65*$R63)</f>
        <v>2.0586123886912181E-3</v>
      </c>
      <c r="AB63" s="5">
        <f>$H$66*EXP($I$66*$R63)</f>
        <v>1.8379700419689029E-3</v>
      </c>
      <c r="AC63" s="5">
        <f>$H$67*EXP($I$67*$R63)</f>
        <v>1.5701125136808826E-3</v>
      </c>
      <c r="AD63" s="5">
        <f>$H$68*EXP($I$68*$R63)</f>
        <v>3.8415108699634049E-3</v>
      </c>
      <c r="AE63" s="5">
        <f>$H$69*EXP($I$69*$R63)</f>
        <v>4.8317903912784132E-3</v>
      </c>
      <c r="AF63" s="5">
        <f>$H$70*EXP($I$70*$R63)</f>
        <v>1.1334934835399067E-2</v>
      </c>
      <c r="AG63" s="5">
        <f>$H$71*EXP($I$71*$R63)</f>
        <v>9.8615781809486894E-3</v>
      </c>
      <c r="AH63" s="5">
        <f ca="1">$H$72*EXP($I$72*$R63)</f>
        <v>0.14740184330686651</v>
      </c>
      <c r="AI63" s="5">
        <f ca="1">$H$73*EXP($I$73*$R63)</f>
        <v>0.13273715489139901</v>
      </c>
      <c r="AJ63" s="5">
        <f ca="1">$H$74*EXP($I$74*$R63)</f>
        <v>0.17968622909333917</v>
      </c>
      <c r="AK63" s="6">
        <f ca="1">$H$75*EXP($I$75*$R63)</f>
        <v>0.13972924160259728</v>
      </c>
    </row>
    <row r="64" spans="1:37" x14ac:dyDescent="0.2">
      <c r="A64" s="4">
        <v>9</v>
      </c>
      <c r="B64" s="5">
        <f>IF(W13=0, AVERAGE(B63,B65), W13)</f>
        <v>7</v>
      </c>
      <c r="C64" s="5">
        <f t="shared" si="13"/>
        <v>4.7864709638263285</v>
      </c>
      <c r="D64" s="5"/>
      <c r="E64" s="5">
        <f>COUNT($B$56:$B64)*VARP($B$56:$B64)</f>
        <v>7664.8888888888887</v>
      </c>
      <c r="F64" s="30">
        <f t="shared" si="9"/>
        <v>7636.7535056425349</v>
      </c>
      <c r="G64" s="5">
        <f>SUMXMY2($B$56:$B64,$C$56:$C64)</f>
        <v>28.135383246354106</v>
      </c>
      <c r="H64" s="5">
        <f t="shared" si="10"/>
        <v>131.86021497023845</v>
      </c>
      <c r="I64" s="5">
        <f t="shared" si="11"/>
        <v>-0.36843877720596441</v>
      </c>
      <c r="J64" s="5">
        <f t="shared" si="12"/>
        <v>0.9963293162296013</v>
      </c>
      <c r="K64" s="5">
        <f>SQRT(G64/COUNT($B$56:B64))</f>
        <v>1.7680932368060642</v>
      </c>
      <c r="L64" s="5"/>
      <c r="M64" s="5">
        <f>EXP(INDEX(LINEST(LN(B$56:B64),A$56:A64),1,2))</f>
        <v>131.86021497023845</v>
      </c>
      <c r="N64" s="6">
        <f>INDEX(LINEST(LN(B$56:B64),A$56:A64),1)</f>
        <v>-0.36843877720596441</v>
      </c>
      <c r="R64" s="4">
        <v>35</v>
      </c>
      <c r="S64" s="5">
        <f>$H$57*EXP($I$57*R64)</f>
        <v>1.0736587642033226E-2</v>
      </c>
      <c r="T64" s="5">
        <f>$H$58*EXP($I$58*$R64)</f>
        <v>4.156146688520347E-3</v>
      </c>
      <c r="U64" s="5">
        <f>$H$59*EXP($I$59*$R64)</f>
        <v>5.9592276118257863E-3</v>
      </c>
      <c r="V64" s="5">
        <f>$H$60*EXP($I$60*$R64)</f>
        <v>1.1581230876919776E-4</v>
      </c>
      <c r="W64" s="5">
        <f>$H$61*EXP($I$61*$R64)</f>
        <v>2.7726791959800164E-5</v>
      </c>
      <c r="X64" s="5">
        <f>$H$62*EXP($I$62*$R64)</f>
        <v>3.6233731825860264E-5</v>
      </c>
      <c r="Y64" s="5">
        <f>$H$63*EXP($I$63*$R64)</f>
        <v>9.1123331092018183E-5</v>
      </c>
      <c r="Z64" s="5">
        <f>$H$64*EXP($I$64*$R64)</f>
        <v>3.3092631580377375E-4</v>
      </c>
      <c r="AA64" s="5">
        <f>$H$65*EXP($I$65*$R64)</f>
        <v>1.4943737360672408E-3</v>
      </c>
      <c r="AB64" s="5">
        <f>$H$66*EXP($I$66*$R64)</f>
        <v>1.3291740913819146E-3</v>
      </c>
      <c r="AC64" s="5">
        <f>$H$67*EXP($I$67*$R64)</f>
        <v>1.129453454150602E-3</v>
      </c>
      <c r="AD64" s="5">
        <f>$H$68*EXP($I$68*$R64)</f>
        <v>2.8489601726407981E-3</v>
      </c>
      <c r="AE64" s="5">
        <f>$H$69*EXP($I$69*$R64)</f>
        <v>3.6118282269502469E-3</v>
      </c>
      <c r="AF64" s="5">
        <f>$H$70*EXP($I$70*$R64)</f>
        <v>8.7288263380357316E-3</v>
      </c>
      <c r="AG64" s="5">
        <f>$H$71*EXP($I$71*$R64)</f>
        <v>7.5569912665069804E-3</v>
      </c>
      <c r="AH64" s="5">
        <f ca="1">$H$72*EXP($I$72*$R64)</f>
        <v>0.12355485669066374</v>
      </c>
      <c r="AI64" s="5">
        <f ca="1">$H$73*EXP($I$73*$R64)</f>
        <v>0.11084202638932203</v>
      </c>
      <c r="AJ64" s="5">
        <f ca="1">$H$74*EXP($I$74*$R64)</f>
        <v>0.15171849917352609</v>
      </c>
      <c r="AK64" s="6">
        <f ca="1">$H$75*EXP($I$75*$R64)</f>
        <v>0.11688683049649563</v>
      </c>
    </row>
    <row r="65" spans="1:37" x14ac:dyDescent="0.2">
      <c r="A65" s="4">
        <v>10</v>
      </c>
      <c r="B65" s="5">
        <f>IF(W14=0, AVERAGE(B64,B66), W14)</f>
        <v>8</v>
      </c>
      <c r="C65" s="5">
        <f t="shared" si="13"/>
        <v>4.4910007059096149</v>
      </c>
      <c r="D65" s="5"/>
      <c r="E65" s="5">
        <f>COUNT($B$56:$B65)*VARP($B$56:$B65)</f>
        <v>8222.4</v>
      </c>
      <c r="F65" s="30">
        <f t="shared" si="9"/>
        <v>8181.9515407077188</v>
      </c>
      <c r="G65" s="5">
        <f>SUMXMY2($B$56:$B65,$C$56:$C65)</f>
        <v>40.44845929228093</v>
      </c>
      <c r="H65" s="5">
        <f t="shared" si="10"/>
        <v>110.53420250782192</v>
      </c>
      <c r="I65" s="5">
        <f t="shared" si="11"/>
        <v>-0.32032494467337463</v>
      </c>
      <c r="J65" s="5">
        <f t="shared" si="12"/>
        <v>0.99508069915203823</v>
      </c>
      <c r="K65" s="5">
        <f>SQRT(G65/COUNT($B$56:B65))</f>
        <v>2.0111802329050703</v>
      </c>
      <c r="L65" s="5"/>
      <c r="M65" s="5">
        <f>EXP(INDEX(LINEST(LN(B$56:B65),A$56:A65),1,2))</f>
        <v>110.53420250782192</v>
      </c>
      <c r="N65" s="6">
        <f>INDEX(LINEST(LN(B$56:B65),A$56:A65),1)</f>
        <v>-0.32032494467337463</v>
      </c>
      <c r="R65" s="4">
        <v>36</v>
      </c>
      <c r="S65" s="5">
        <f>$H$57*EXP($I$57*R65)</f>
        <v>8.2313838588921485E-3</v>
      </c>
      <c r="T65" s="5">
        <f>$H$58*EXP($I$58*$R65)</f>
        <v>3.0978088399973751E-3</v>
      </c>
      <c r="U65" s="5">
        <f>$H$59*EXP($I$59*$R65)</f>
        <v>4.4900243287562423E-3</v>
      </c>
      <c r="V65" s="5">
        <f>$H$60*EXP($I$60*$R65)</f>
        <v>7.7437578829836503E-5</v>
      </c>
      <c r="W65" s="5">
        <f>$H$61*EXP($I$61*$R65)</f>
        <v>1.7745608740569532E-5</v>
      </c>
      <c r="X65" s="5">
        <f>$H$62*EXP($I$62*$R65)</f>
        <v>2.3382910851151279E-5</v>
      </c>
      <c r="Y65" s="5">
        <f>$H$63*EXP($I$63*$R65)</f>
        <v>6.052450369297734E-5</v>
      </c>
      <c r="Z65" s="5">
        <f>$H$64*EXP($I$64*$R65)</f>
        <v>2.2893931364682094E-4</v>
      </c>
      <c r="AA65" s="5">
        <f>$H$65*EXP($I$65*$R65)</f>
        <v>1.0847854969275276E-3</v>
      </c>
      <c r="AB65" s="5">
        <f>$H$66*EXP($I$66*$R65)</f>
        <v>9.6122555039492464E-4</v>
      </c>
      <c r="AC65" s="5">
        <f>$H$67*EXP($I$67*$R65)</f>
        <v>8.1246731936562269E-4</v>
      </c>
      <c r="AD65" s="5">
        <f>$H$68*EXP($I$68*$R65)</f>
        <v>2.112859846045628E-3</v>
      </c>
      <c r="AE65" s="5">
        <f>$H$69*EXP($I$69*$R65)</f>
        <v>2.699890120345843E-3</v>
      </c>
      <c r="AF65" s="5">
        <f>$H$70*EXP($I$70*$R65)</f>
        <v>6.721909772400011E-3</v>
      </c>
      <c r="AG65" s="5">
        <f>$H$71*EXP($I$71*$R65)</f>
        <v>5.7909713794479945E-3</v>
      </c>
      <c r="AH65" s="5">
        <f ca="1">$H$72*EXP($I$72*$R65)</f>
        <v>0.10356588675807504</v>
      </c>
      <c r="AI65" s="5">
        <f ca="1">$H$73*EXP($I$73*$R65)</f>
        <v>9.2558521569511734E-2</v>
      </c>
      <c r="AJ65" s="5">
        <f ca="1">$H$74*EXP($I$74*$R65)</f>
        <v>0.12810387923222619</v>
      </c>
      <c r="AK65" s="6">
        <f ca="1">$H$75*EXP($I$75*$R65)</f>
        <v>9.7778610882137226E-2</v>
      </c>
    </row>
    <row r="66" spans="1:37" x14ac:dyDescent="0.2">
      <c r="A66" s="4">
        <v>11</v>
      </c>
      <c r="B66" s="5">
        <f>IF(W15=0, AVERAGE(B65,B67), W15)</f>
        <v>3</v>
      </c>
      <c r="C66" s="5">
        <f t="shared" si="13"/>
        <v>3.1749678472733587</v>
      </c>
      <c r="D66" s="5"/>
      <c r="E66" s="5">
        <f>COUNT($B$56:$B66)*VARP($B$56:$B66)</f>
        <v>8904.9090909090919</v>
      </c>
      <c r="F66" s="30">
        <f t="shared" si="9"/>
        <v>8864.430017869232</v>
      </c>
      <c r="G66" s="5">
        <f>SUMXMY2($B$56:$B66,$C$56:$C66)</f>
        <v>40.479073039860403</v>
      </c>
      <c r="H66" s="5">
        <f t="shared" si="10"/>
        <v>112.21773604137569</v>
      </c>
      <c r="I66" s="5">
        <f t="shared" si="11"/>
        <v>-0.32410395912552348</v>
      </c>
      <c r="J66" s="5">
        <f t="shared" si="12"/>
        <v>0.9954542968797756</v>
      </c>
      <c r="K66" s="5">
        <f>SQRT(G66/COUNT($B$56:B66))</f>
        <v>1.9183106450458955</v>
      </c>
      <c r="L66" s="5"/>
      <c r="M66" s="5">
        <f>EXP(INDEX(LINEST(LN(B$56:B66),A$56:A66),1,2))</f>
        <v>112.21773604137569</v>
      </c>
      <c r="N66" s="6">
        <f>INDEX(LINEST(LN(B$56:B66),A$56:A66),1)</f>
        <v>-0.32410395912552348</v>
      </c>
      <c r="R66" s="4">
        <v>37</v>
      </c>
      <c r="S66" s="5">
        <f>$H$57*EXP($I$57*R66)</f>
        <v>6.3107276251506443E-3</v>
      </c>
      <c r="T66" s="5">
        <f>$H$58*EXP($I$58*$R66)</f>
        <v>2.3089703825113004E-3</v>
      </c>
      <c r="U66" s="5">
        <f>$H$59*EXP($I$59*$R66)</f>
        <v>3.3830421970820128E-3</v>
      </c>
      <c r="V66" s="5">
        <f>$H$60*EXP($I$60*$R66)</f>
        <v>5.177842216217044E-5</v>
      </c>
      <c r="W66" s="5">
        <f>$H$61*EXP($I$61*$R66)</f>
        <v>1.135748520888914E-5</v>
      </c>
      <c r="X66" s="5">
        <f>$H$62*EXP($I$62*$R66)</f>
        <v>1.5089820791869482E-5</v>
      </c>
      <c r="Y66" s="5">
        <f>$H$63*EXP($I$63*$R66)</f>
        <v>4.0200632520578504E-5</v>
      </c>
      <c r="Z66" s="5">
        <f>$H$64*EXP($I$64*$R66)</f>
        <v>1.5838332229872106E-4</v>
      </c>
      <c r="AA66" s="5">
        <f>$H$65*EXP($I$65*$R66)</f>
        <v>7.8746002150786691E-4</v>
      </c>
      <c r="AB66" s="5">
        <f>$H$66*EXP($I$66*$R66)</f>
        <v>6.9513434298994615E-4</v>
      </c>
      <c r="AC66" s="5">
        <f>$H$67*EXP($I$67*$R66)</f>
        <v>5.8444475300098854E-4</v>
      </c>
      <c r="AD66" s="5">
        <f>$H$68*EXP($I$68*$R66)</f>
        <v>1.5669495038584404E-3</v>
      </c>
      <c r="AE66" s="5">
        <f>$H$69*EXP($I$69*$R66)</f>
        <v>2.0182041348339856E-3</v>
      </c>
      <c r="AF66" s="5">
        <f>$H$70*EXP($I$70*$R66)</f>
        <v>5.1764199719952992E-3</v>
      </c>
      <c r="AG66" s="5">
        <f>$H$71*EXP($I$71*$R66)</f>
        <v>4.4376588955734805E-3</v>
      </c>
      <c r="AH66" s="5">
        <f ca="1">$H$72*EXP($I$72*$R66)</f>
        <v>8.6810775288584108E-2</v>
      </c>
      <c r="AI66" s="5">
        <f ca="1">$H$73*EXP($I$73*$R66)</f>
        <v>7.7290899437752178E-2</v>
      </c>
      <c r="AJ66" s="5">
        <f ca="1">$H$74*EXP($I$74*$R66)</f>
        <v>0.10816481815823505</v>
      </c>
      <c r="AK66" s="6">
        <f ca="1">$H$75*EXP($I$75*$R66)</f>
        <v>8.1794131173118276E-2</v>
      </c>
    </row>
    <row r="67" spans="1:37" x14ac:dyDescent="0.2">
      <c r="A67" s="4">
        <v>12</v>
      </c>
      <c r="B67" s="5">
        <f>IF(W16=0, AVERAGE(B66,B68), W16)</f>
        <v>2</v>
      </c>
      <c r="C67" s="5">
        <f t="shared" si="13"/>
        <v>2.2044709908675006</v>
      </c>
      <c r="D67" s="5"/>
      <c r="E67" s="5">
        <f>COUNT($B$56:$B67)*VARP($B$56:$B67)</f>
        <v>9520.25</v>
      </c>
      <c r="F67" s="30">
        <f t="shared" si="9"/>
        <v>9479.7291185740341</v>
      </c>
      <c r="G67" s="5">
        <f>SUMXMY2($B$56:$B67,$C$56:$C67)</f>
        <v>40.520881425966742</v>
      </c>
      <c r="H67" s="5">
        <f t="shared" si="10"/>
        <v>114.82954179137552</v>
      </c>
      <c r="I67" s="5">
        <f t="shared" si="11"/>
        <v>-0.3294134347318648</v>
      </c>
      <c r="J67" s="5">
        <f t="shared" si="12"/>
        <v>0.99574371666437689</v>
      </c>
      <c r="K67" s="5">
        <f>SQRT(G67/COUNT($B$56:B67))</f>
        <v>1.8375908464156436</v>
      </c>
      <c r="L67" s="5"/>
      <c r="M67" s="5">
        <f>EXP(INDEX(LINEST(LN(B$56:B67),A$56:A67),1,2))</f>
        <v>114.82954179137552</v>
      </c>
      <c r="N67" s="6">
        <f>INDEX(LINEST(LN(B$56:B67),A$56:A67),1)</f>
        <v>-0.3294134347318648</v>
      </c>
      <c r="R67" s="4">
        <v>38</v>
      </c>
      <c r="S67" s="5">
        <f>$H$57*EXP($I$57*R67)</f>
        <v>4.8382245126154999E-3</v>
      </c>
      <c r="T67" s="5">
        <f>$H$58*EXP($I$58*$R67)</f>
        <v>1.7210049111096536E-3</v>
      </c>
      <c r="U67" s="5">
        <f>$H$59*EXP($I$59*$R67)</f>
        <v>2.5489782836895731E-3</v>
      </c>
      <c r="V67" s="5">
        <f>$H$60*EXP($I$60*$R67)</f>
        <v>3.4621498271469115E-5</v>
      </c>
      <c r="W67" s="5">
        <f>$H$61*EXP($I$61*$R67)</f>
        <v>7.2689797321653399E-6</v>
      </c>
      <c r="X67" s="5">
        <f>$H$62*EXP($I$62*$R67)</f>
        <v>9.7379959655247524E-6</v>
      </c>
      <c r="Y67" s="5">
        <f>$H$63*EXP($I$63*$R67)</f>
        <v>2.6701430932049245E-5</v>
      </c>
      <c r="Z67" s="5">
        <f>$H$64*EXP($I$64*$R67)</f>
        <v>1.0957173052889901E-4</v>
      </c>
      <c r="AA67" s="5">
        <f>$H$65*EXP($I$65*$R67)</f>
        <v>5.7162755883949422E-4</v>
      </c>
      <c r="AB67" s="5">
        <f>$H$66*EXP($I$66*$R67)</f>
        <v>5.0270381868806251E-4</v>
      </c>
      <c r="AC67" s="5">
        <f>$H$67*EXP($I$67*$R67)</f>
        <v>4.2041773394293483E-4</v>
      </c>
      <c r="AD67" s="5">
        <f>$H$68*EXP($I$68*$R67)</f>
        <v>1.1620887927031925E-3</v>
      </c>
      <c r="AE67" s="5">
        <f>$H$69*EXP($I$69*$R67)</f>
        <v>1.5086347030075597E-3</v>
      </c>
      <c r="AF67" s="5">
        <f>$H$70*EXP($I$70*$R67)</f>
        <v>3.9862664977284709E-3</v>
      </c>
      <c r="AG67" s="5">
        <f>$H$71*EXP($I$71*$R67)</f>
        <v>3.4006067692463021E-3</v>
      </c>
      <c r="AH67" s="5">
        <f ca="1">$H$72*EXP($I$72*$R67)</f>
        <v>7.2766341718379215E-2</v>
      </c>
      <c r="AI67" s="5">
        <f ca="1">$H$73*EXP($I$73*$R67)</f>
        <v>6.4541687081835247E-2</v>
      </c>
      <c r="AJ67" s="5">
        <f ca="1">$H$74*EXP($I$74*$R67)</f>
        <v>9.1329224043208049E-2</v>
      </c>
      <c r="AK67" s="6">
        <f ca="1">$H$75*EXP($I$75*$R67)</f>
        <v>6.8422734113391795E-2</v>
      </c>
    </row>
    <row r="68" spans="1:37" x14ac:dyDescent="0.2">
      <c r="A68" s="4">
        <v>13</v>
      </c>
      <c r="B68" s="5">
        <f>IF(W17=0, AVERAGE(B67,B69), W17)</f>
        <v>4</v>
      </c>
      <c r="C68" s="5">
        <f t="shared" si="13"/>
        <v>2.0447090664634247</v>
      </c>
      <c r="D68" s="5"/>
      <c r="E68" s="5">
        <f>COUNT($B$56:$B68)*VARP($B$56:$B68)</f>
        <v>9956.923076923078</v>
      </c>
      <c r="F68" s="30">
        <f t="shared" si="9"/>
        <v>9912.5790328623407</v>
      </c>
      <c r="G68" s="5">
        <f>SUMXMY2($B$56:$B68,$C$56:$C68)</f>
        <v>44.344044060737076</v>
      </c>
      <c r="H68" s="5">
        <f t="shared" si="10"/>
        <v>99.594526647206592</v>
      </c>
      <c r="I68" s="5">
        <f t="shared" si="11"/>
        <v>-0.29891166893486859</v>
      </c>
      <c r="J68" s="5">
        <f t="shared" si="12"/>
        <v>0.99554641090242901</v>
      </c>
      <c r="K68" s="5">
        <f>SQRT(G68/COUNT($B$56:B68))</f>
        <v>1.8469110190705968</v>
      </c>
      <c r="L68" s="5"/>
      <c r="M68" s="5">
        <f>EXP(INDEX(LINEST(LN(B$56:B68),A$56:A68),1,2))</f>
        <v>99.594526647206592</v>
      </c>
      <c r="N68" s="6">
        <f>INDEX(LINEST(LN(B$56:B68),A$56:A68),1)</f>
        <v>-0.29891166893486859</v>
      </c>
      <c r="R68" s="4">
        <v>39</v>
      </c>
      <c r="S68" s="5">
        <f>$H$57*EXP($I$57*R68)</f>
        <v>3.7093054596718817E-3</v>
      </c>
      <c r="T68" s="5">
        <f>$H$58*EXP($I$58*$R68)</f>
        <v>1.2827613236173897E-3</v>
      </c>
      <c r="U68" s="5">
        <f>$H$59*EXP($I$59*$R68)</f>
        <v>1.9205466299903595E-3</v>
      </c>
      <c r="V68" s="5">
        <f>$H$60*EXP($I$60*$R68)</f>
        <v>2.314956872975316E-5</v>
      </c>
      <c r="W68" s="5">
        <f>$H$61*EXP($I$61*$R68)</f>
        <v>4.6522681187624026E-6</v>
      </c>
      <c r="X68" s="5">
        <f>$H$62*EXP($I$62*$R68)</f>
        <v>6.284273798378756E-6</v>
      </c>
      <c r="Y68" s="5">
        <f>$H$63*EXP($I$63*$R68)</f>
        <v>1.7735203879044244E-5</v>
      </c>
      <c r="Z68" s="5">
        <f>$H$64*EXP($I$64*$R68)</f>
        <v>7.5803209307944951E-5</v>
      </c>
      <c r="AA68" s="5">
        <f>$H$65*EXP($I$65*$R68)</f>
        <v>4.1495194308291058E-4</v>
      </c>
      <c r="AB68" s="5">
        <f>$H$66*EXP($I$66*$R68)</f>
        <v>3.6354286314870768E-4</v>
      </c>
      <c r="AC68" s="5">
        <f>$H$67*EXP($I$67*$R68)</f>
        <v>3.0242562724044751E-4</v>
      </c>
      <c r="AD68" s="5">
        <f>$H$68*EXP($I$68*$R68)</f>
        <v>8.6183400218132469E-4</v>
      </c>
      <c r="AE68" s="5">
        <f>$H$69*EXP($I$69*$R68)</f>
        <v>1.127724707246191E-3</v>
      </c>
      <c r="AF68" s="5">
        <f>$H$70*EXP($I$70*$R68)</f>
        <v>3.0697510396915039E-3</v>
      </c>
      <c r="AG68" s="5">
        <f>$H$71*EXP($I$71*$R68)</f>
        <v>2.6059070043844223E-3</v>
      </c>
      <c r="AH68" s="5">
        <f ca="1">$H$72*EXP($I$72*$R68)</f>
        <v>6.0994046758297192E-2</v>
      </c>
      <c r="AI68" s="5">
        <f ca="1">$H$73*EXP($I$73*$R68)</f>
        <v>5.3895470251635651E-2</v>
      </c>
      <c r="AJ68" s="5">
        <f ca="1">$H$74*EXP($I$74*$R68)</f>
        <v>7.7114049710067037E-2</v>
      </c>
      <c r="AK68" s="6">
        <f ca="1">$H$75*EXP($I$75*$R68)</f>
        <v>5.7237242775317228E-2</v>
      </c>
    </row>
    <row r="69" spans="1:37" x14ac:dyDescent="0.2">
      <c r="A69" s="4">
        <v>14</v>
      </c>
      <c r="B69" s="5">
        <f>IF(W18=0, AVERAGE(B68,B70), W18)</f>
        <v>2</v>
      </c>
      <c r="C69" s="5">
        <f t="shared" si="13"/>
        <v>1.6282760959585731</v>
      </c>
      <c r="D69" s="5"/>
      <c r="E69" s="5">
        <f>COUNT($B$56:$B69)*VARP($B$56:$B69)</f>
        <v>10409.5</v>
      </c>
      <c r="F69" s="30">
        <f t="shared" si="9"/>
        <v>10365.017777278426</v>
      </c>
      <c r="G69" s="5">
        <f>SUMXMY2($B$56:$B69,$C$56:$C69)</f>
        <v>44.482222721572874</v>
      </c>
      <c r="H69" s="5">
        <f t="shared" si="10"/>
        <v>95.733077489409126</v>
      </c>
      <c r="I69" s="5">
        <f t="shared" si="11"/>
        <v>-0.29100300219461583</v>
      </c>
      <c r="J69" s="5">
        <f t="shared" si="12"/>
        <v>0.99572676663417325</v>
      </c>
      <c r="K69" s="5">
        <f>SQRT(G69/COUNT($B$56:B69))</f>
        <v>1.7824987020947565</v>
      </c>
      <c r="L69" s="5"/>
      <c r="M69" s="5">
        <f>EXP(INDEX(LINEST(LN(B$56:B69),A$56:A69),1,2))</f>
        <v>95.733077489409126</v>
      </c>
      <c r="N69" s="6">
        <f>INDEX(LINEST(LN(B$56:B69),A$56:A69),1)</f>
        <v>-0.29100300219461583</v>
      </c>
      <c r="R69" s="4">
        <v>40</v>
      </c>
      <c r="S69" s="5">
        <f>$H$57*EXP($I$57*R69)</f>
        <v>2.8438008524151125E-3</v>
      </c>
      <c r="T69" s="5">
        <f>$H$58*EXP($I$58*$R69)</f>
        <v>9.5611383950536353E-4</v>
      </c>
      <c r="U69" s="5">
        <f>$H$59*EXP($I$59*$R69)</f>
        <v>1.4470501304657344E-3</v>
      </c>
      <c r="V69" s="5">
        <f>$H$60*EXP($I$60*$R69)</f>
        <v>1.5478894881195621E-5</v>
      </c>
      <c r="W69" s="5">
        <f>$H$61*EXP($I$61*$R69)</f>
        <v>2.9775290957381308E-6</v>
      </c>
      <c r="X69" s="5">
        <f>$H$62*EXP($I$62*$R69)</f>
        <v>4.0554645239947628E-6</v>
      </c>
      <c r="Y69" s="5">
        <f>$H$63*EXP($I$63*$R69)</f>
        <v>1.1779797773074888E-5</v>
      </c>
      <c r="Z69" s="5">
        <f>$H$64*EXP($I$64*$R69)</f>
        <v>5.2441688322779662E-5</v>
      </c>
      <c r="AA69" s="5">
        <f>$H$65*EXP($I$65*$R69)</f>
        <v>3.0121905846850568E-4</v>
      </c>
      <c r="AB69" s="5">
        <f>$H$66*EXP($I$66*$R69)</f>
        <v>2.6290513107951933E-4</v>
      </c>
      <c r="AC69" s="5">
        <f>$H$67*EXP($I$67*$R69)</f>
        <v>2.1754853001560714E-4</v>
      </c>
      <c r="AD69" s="5">
        <f>$H$68*EXP($I$68*$R69)</f>
        <v>6.3915756866402072E-4</v>
      </c>
      <c r="AE69" s="5">
        <f>$H$69*EXP($I$69*$R69)</f>
        <v>8.4298936833294774E-4</v>
      </c>
      <c r="AF69" s="5">
        <f>$H$70*EXP($I$70*$R69)</f>
        <v>2.3639592212554958E-3</v>
      </c>
      <c r="AG69" s="5">
        <f>$H$71*EXP($I$71*$R69)</f>
        <v>1.9969234246407391E-3</v>
      </c>
      <c r="AH69" s="5">
        <f ca="1">$H$72*EXP($I$72*$R69)</f>
        <v>5.11262989467242E-2</v>
      </c>
      <c r="AI69" s="5">
        <f ca="1">$H$73*EXP($I$73*$R69)</f>
        <v>4.5005357699465176E-2</v>
      </c>
      <c r="AJ69" s="5">
        <f ca="1">$H$74*EXP($I$74*$R69)</f>
        <v>6.5111433114479825E-2</v>
      </c>
      <c r="AK69" s="6">
        <f ca="1">$H$75*EXP($I$75*$R69)</f>
        <v>4.7880313509415871E-2</v>
      </c>
    </row>
    <row r="70" spans="1:37" x14ac:dyDescent="0.2">
      <c r="A70" s="4">
        <v>15</v>
      </c>
      <c r="B70" s="5">
        <f>IF(W19=0, AVERAGE(B69,B71), W19)</f>
        <v>4</v>
      </c>
      <c r="C70" s="5">
        <f t="shared" si="13"/>
        <v>1.6226294109573884</v>
      </c>
      <c r="D70" s="5"/>
      <c r="E70" s="5">
        <f>COUNT($B$56:$B70)*VARP($B$56:$B70)</f>
        <v>10728.933333333334</v>
      </c>
      <c r="F70" s="30">
        <f t="shared" si="9"/>
        <v>10678.799219694116</v>
      </c>
      <c r="G70" s="5">
        <f>SUMXMY2($B$56:$B70,$C$56:$C70)</f>
        <v>50.134113639217688</v>
      </c>
      <c r="H70" s="5">
        <f t="shared" si="10"/>
        <v>81.689636067836361</v>
      </c>
      <c r="I70" s="5">
        <f t="shared" si="11"/>
        <v>-0.26125861424458757</v>
      </c>
      <c r="J70" s="5">
        <f t="shared" si="12"/>
        <v>0.99532720429127297</v>
      </c>
      <c r="K70" s="5">
        <f>SQRT(G70/COUNT($B$56:B70))</f>
        <v>1.828188787465483</v>
      </c>
      <c r="L70" s="5"/>
      <c r="M70" s="5">
        <f>EXP(INDEX(LINEST(LN(B$56:B70),A$56:A70),1,2))</f>
        <v>81.689636067836361</v>
      </c>
      <c r="N70" s="6">
        <f>INDEX(LINEST(LN(B$56:B70),A$56:A70),1)</f>
        <v>-0.26125861424458757</v>
      </c>
      <c r="R70" s="4">
        <v>41</v>
      </c>
      <c r="S70" s="5">
        <f>$H$57*EXP($I$57*R70)</f>
        <v>2.1802473201849182E-3</v>
      </c>
      <c r="T70" s="5">
        <f>$H$58*EXP($I$58*$R70)</f>
        <v>7.1264517978743898E-4</v>
      </c>
      <c r="U70" s="5">
        <f>$H$59*EXP($I$59*$R70)</f>
        <v>1.0902906742188362E-3</v>
      </c>
      <c r="V70" s="5">
        <f>$H$60*EXP($I$60*$R70)</f>
        <v>1.0349920101758127E-5</v>
      </c>
      <c r="W70" s="5">
        <f>$H$61*EXP($I$61*$R70)</f>
        <v>1.905668222390749E-6</v>
      </c>
      <c r="X70" s="5">
        <f>$H$62*EXP($I$62*$R70)</f>
        <v>2.6171349360403556E-6</v>
      </c>
      <c r="Y70" s="5">
        <f>$H$63*EXP($I$63*$R70)</f>
        <v>7.8241917330593355E-6</v>
      </c>
      <c r="Z70" s="5">
        <f>$H$64*EXP($I$64*$R70)</f>
        <v>3.6279871251510691E-5</v>
      </c>
      <c r="AA70" s="5">
        <f>$H$65*EXP($I$65*$R70)</f>
        <v>2.1865886567622137E-4</v>
      </c>
      <c r="AB70" s="5">
        <f>$H$66*EXP($I$66*$R70)</f>
        <v>1.9012643337098324E-4</v>
      </c>
      <c r="AC70" s="5">
        <f>$H$67*EXP($I$67*$R70)</f>
        <v>1.5649256759025701E-4</v>
      </c>
      <c r="AD70" s="5">
        <f>$H$68*EXP($I$68*$R70)</f>
        <v>4.7401517757076348E-4</v>
      </c>
      <c r="AE70" s="5">
        <f>$H$69*EXP($I$69*$R70)</f>
        <v>6.3014587740804653E-4</v>
      </c>
      <c r="AF70" s="5">
        <f>$H$70*EXP($I$70*$R70)</f>
        <v>1.8204418298105665E-3</v>
      </c>
      <c r="AG70" s="5">
        <f>$H$71*EXP($I$71*$R70)</f>
        <v>1.5302553610583973E-3</v>
      </c>
      <c r="AH70" s="5">
        <f ca="1">$H$72*EXP($I$72*$R70)</f>
        <v>4.285497655776116E-2</v>
      </c>
      <c r="AI70" s="5">
        <f ca="1">$H$73*EXP($I$73*$R70)</f>
        <v>3.7581678241230987E-2</v>
      </c>
      <c r="AJ70" s="5">
        <f ca="1">$H$74*EXP($I$74*$R70)</f>
        <v>5.4976994959557018E-2</v>
      </c>
      <c r="AK70" s="6">
        <f ca="1">$H$75*EXP($I$75*$R70)</f>
        <v>4.0053019862594991E-2</v>
      </c>
    </row>
    <row r="71" spans="1:37" x14ac:dyDescent="0.2">
      <c r="A71" s="4">
        <v>16</v>
      </c>
      <c r="B71" s="5">
        <f>IF(W20=0, AVERAGE(B70,B72), W20)</f>
        <v>1</v>
      </c>
      <c r="C71" s="5">
        <f t="shared" si="13"/>
        <v>1.1876854990097421</v>
      </c>
      <c r="D71" s="5"/>
      <c r="E71" s="5">
        <f>COUNT($B$56:$B71)*VARP($B$56:$B71)</f>
        <v>11114</v>
      </c>
      <c r="F71" s="30">
        <f t="shared" si="9"/>
        <v>11063.830660514244</v>
      </c>
      <c r="G71" s="5">
        <f>SUMXMY2($B$56:$B71,$C$56:$C71)</f>
        <v>50.169339485756225</v>
      </c>
      <c r="H71" s="5">
        <f t="shared" si="10"/>
        <v>83.996556533429725</v>
      </c>
      <c r="I71" s="5">
        <f t="shared" si="11"/>
        <v>-0.26617308437086218</v>
      </c>
      <c r="J71" s="5">
        <f t="shared" si="12"/>
        <v>0.99548593310367506</v>
      </c>
      <c r="K71" s="5">
        <f>SQRT(G71/COUNT($B$56:B71))</f>
        <v>1.770757950104916</v>
      </c>
      <c r="L71" s="5"/>
      <c r="M71" s="5">
        <f>EXP(INDEX(LINEST(LN(B$56:B71),A$56:A71),1,2))</f>
        <v>83.996556533429725</v>
      </c>
      <c r="N71" s="6">
        <f>INDEX(LINEST(LN(B$56:B71),A$56:A71),1)</f>
        <v>-0.26617308437086218</v>
      </c>
      <c r="R71" s="4">
        <v>42</v>
      </c>
      <c r="S71" s="5">
        <f>$H$57*EXP($I$57*R71)</f>
        <v>1.6715229454751033E-3</v>
      </c>
      <c r="T71" s="5">
        <f>$H$58*EXP($I$58*$R71)</f>
        <v>5.3117435528075678E-4</v>
      </c>
      <c r="U71" s="5">
        <f>$H$59*EXP($I$59*$R71)</f>
        <v>8.2148761073396208E-4</v>
      </c>
      <c r="V71" s="5">
        <f>$H$60*EXP($I$60*$R71)</f>
        <v>6.9204453505858235E-6</v>
      </c>
      <c r="W71" s="5">
        <f>$H$61*EXP($I$61*$R71)</f>
        <v>1.2196594078721038E-6</v>
      </c>
      <c r="X71" s="5">
        <f>$H$62*EXP($I$62*$R71)</f>
        <v>1.6889298951864844E-6</v>
      </c>
      <c r="Y71" s="5">
        <f>$H$63*EXP($I$63*$R71)</f>
        <v>5.1968613939706271E-6</v>
      </c>
      <c r="Z71" s="5">
        <f>$H$64*EXP($I$64*$R71)</f>
        <v>2.5098906997897837E-5</v>
      </c>
      <c r="AA71" s="5">
        <f>$H$65*EXP($I$65*$R71)</f>
        <v>1.5872733877431847E-4</v>
      </c>
      <c r="AB71" s="5">
        <f>$H$66*EXP($I$66*$R71)</f>
        <v>1.3749469444716711E-4</v>
      </c>
      <c r="AC71" s="5">
        <f>$H$67*EXP($I$67*$R71)</f>
        <v>1.1257223254615505E-4</v>
      </c>
      <c r="AD71" s="5">
        <f>$H$68*EXP($I$68*$R71)</f>
        <v>3.5154146580333007E-4</v>
      </c>
      <c r="AE71" s="5">
        <f>$H$69*EXP($I$69*$R71)</f>
        <v>4.7104250863757473E-4</v>
      </c>
      <c r="AF71" s="5">
        <f>$H$70*EXP($I$70*$R71)</f>
        <v>1.4018890114204162E-3</v>
      </c>
      <c r="AG71" s="5">
        <f>$H$71*EXP($I$71*$R71)</f>
        <v>1.1726445997643855E-3</v>
      </c>
      <c r="AH71" s="5">
        <f ca="1">$H$72*EXP($I$72*$R71)</f>
        <v>3.5921806459724773E-2</v>
      </c>
      <c r="AI71" s="5">
        <f ca="1">$H$73*EXP($I$73*$R71)</f>
        <v>3.1382542248835382E-2</v>
      </c>
      <c r="AJ71" s="5">
        <f ca="1">$H$74*EXP($I$74*$R71)</f>
        <v>4.641995775870892E-2</v>
      </c>
      <c r="AK71" s="6">
        <f ca="1">$H$75*EXP($I$75*$R71)</f>
        <v>3.3505302754501538E-2</v>
      </c>
    </row>
    <row r="72" spans="1:37" x14ac:dyDescent="0.2">
      <c r="A72" s="4">
        <v>17</v>
      </c>
      <c r="B72" s="5">
        <f ca="1">IF(W21=0, AVERAGE(B71,B73), W21)</f>
        <v>4</v>
      </c>
      <c r="C72" s="5">
        <f t="shared" ca="1" si="13"/>
        <v>2.960980174974948</v>
      </c>
      <c r="D72" s="5"/>
      <c r="E72" s="5">
        <f ca="1">COUNT($B$56:$B72)*VARP($B$56:$B72)</f>
        <v>3004.4705882352941</v>
      </c>
      <c r="F72" s="30">
        <f t="shared" ca="1" si="9"/>
        <v>2987.3103837943422</v>
      </c>
      <c r="G72" s="5">
        <f ca="1">SUMXMY2($B$56:$B72,$C$56:$C72)</f>
        <v>17.160204440951709</v>
      </c>
      <c r="H72" s="5">
        <f t="shared" ca="1" si="10"/>
        <v>59.479606224071254</v>
      </c>
      <c r="I72" s="5">
        <f t="shared" ca="1" si="11"/>
        <v>-0.17647724397332329</v>
      </c>
      <c r="J72" s="5">
        <f t="shared" ca="1" si="12"/>
        <v>0.99428844319257215</v>
      </c>
      <c r="K72" s="5">
        <f ca="1">SQRT(G72/COUNT($B$56:B72))</f>
        <v>1.0047008463439344</v>
      </c>
      <c r="L72" s="5"/>
      <c r="M72" s="5">
        <f ca="1">EXP(INDEX(LINEST(LN(B$56:B72),A$56:A72),1,2))</f>
        <v>59.479606224071254</v>
      </c>
      <c r="N72" s="6">
        <f ca="1">INDEX(LINEST(LN(B$56:B72),A$56:A72),1)</f>
        <v>-0.17647724397332329</v>
      </c>
      <c r="R72" s="4">
        <v>43</v>
      </c>
      <c r="S72" s="5">
        <f>$H$57*EXP($I$57*R72)</f>
        <v>1.2815009248642473E-3</v>
      </c>
      <c r="T72" s="5">
        <f>$H$58*EXP($I$58*$R72)</f>
        <v>3.9591398877079887E-4</v>
      </c>
      <c r="U72" s="5">
        <f>$H$59*EXP($I$59*$R72)</f>
        <v>6.1895594500328865E-4</v>
      </c>
      <c r="V72" s="5">
        <f>$H$60*EXP($I$60*$R72)</f>
        <v>4.6273365764736196E-6</v>
      </c>
      <c r="W72" s="5">
        <f>$H$61*EXP($I$61*$R72)</f>
        <v>7.8060233871387471E-7</v>
      </c>
      <c r="X72" s="5">
        <f>$H$62*EXP($I$62*$R72)</f>
        <v>1.0899262974840494E-6</v>
      </c>
      <c r="Y72" s="5">
        <f>$H$63*EXP($I$63*$R72)</f>
        <v>3.4517774192609392E-6</v>
      </c>
      <c r="Z72" s="5">
        <f>$H$64*EXP($I$64*$R72)</f>
        <v>1.7363764279149526E-5</v>
      </c>
      <c r="AA72" s="5">
        <f>$H$65*EXP($I$65*$R72)</f>
        <v>1.1522225726572534E-4</v>
      </c>
      <c r="AB72" s="5">
        <f>$H$66*EXP($I$66*$R72)</f>
        <v>9.9432733607493376E-5</v>
      </c>
      <c r="AC72" s="5">
        <f>$H$67*EXP($I$67*$R72)</f>
        <v>8.0978334853613719E-5</v>
      </c>
      <c r="AD72" s="5">
        <f>$H$68*EXP($I$68*$R72)</f>
        <v>2.6071190971665666E-4</v>
      </c>
      <c r="AE72" s="5">
        <f>$H$69*EXP($I$69*$R72)</f>
        <v>3.5211060311341543E-4</v>
      </c>
      <c r="AF72" s="5">
        <f>$H$70*EXP($I$70*$R72)</f>
        <v>1.079569128855833E-3</v>
      </c>
      <c r="AG72" s="5">
        <f>$H$71*EXP($I$71*$R72)</f>
        <v>8.9860515594305439E-4</v>
      </c>
      <c r="AH72" s="5">
        <f ca="1">$H$72*EXP($I$72*$R72)</f>
        <v>3.0110299502572786E-2</v>
      </c>
      <c r="AI72" s="5">
        <f ca="1">$H$73*EXP($I$73*$R72)</f>
        <v>2.6205960033989142E-2</v>
      </c>
      <c r="AJ72" s="5">
        <f ca="1">$H$74*EXP($I$74*$R72)</f>
        <v>3.9194802842633998E-2</v>
      </c>
      <c r="AK72" s="6">
        <f ca="1">$H$75*EXP($I$75*$R72)</f>
        <v>2.8027981823143255E-2</v>
      </c>
    </row>
    <row r="73" spans="1:37" x14ac:dyDescent="0.2">
      <c r="A73" s="4">
        <v>18</v>
      </c>
      <c r="B73" s="5">
        <f ca="1">IF(W22=0, AVERAGE(B72,B74), W22)</f>
        <v>2</v>
      </c>
      <c r="C73" s="5">
        <f ca="1">H73*EXP(I73*A73)</f>
        <v>2.3746590860578389</v>
      </c>
      <c r="D73" s="5"/>
      <c r="E73" s="5">
        <f ca="1">COUNT($B$56:$B73)*VARP($B$56:$B73)</f>
        <v>3222</v>
      </c>
      <c r="F73" s="30">
        <f t="shared" ca="1" si="9"/>
        <v>3204.6994261282825</v>
      </c>
      <c r="G73" s="5">
        <f ca="1">SUMXMY2($B$56:$B73,$C$56:$C73)</f>
        <v>17.300573871717404</v>
      </c>
      <c r="H73" s="5">
        <f t="shared" ca="1" si="10"/>
        <v>60.92368027683046</v>
      </c>
      <c r="I73" s="5">
        <f t="shared" ca="1" si="11"/>
        <v>-0.18026489185371158</v>
      </c>
      <c r="J73" s="5">
        <f t="shared" ca="1" si="12"/>
        <v>0.99463048607333415</v>
      </c>
      <c r="K73" s="5">
        <f ca="1">SQRT(G73/COUNT($B$56:B73))</f>
        <v>0.98037900470847961</v>
      </c>
      <c r="L73" s="5"/>
      <c r="M73" s="5">
        <f ca="1">EXP(INDEX(LINEST(LN(B$56:B73),A$56:A73),1,2))</f>
        <v>60.92368027683046</v>
      </c>
      <c r="N73" s="6">
        <f ca="1">INDEX(LINEST(LN(B$56:B73),A$56:A73),1)</f>
        <v>-0.18026489185371158</v>
      </c>
      <c r="R73" s="4">
        <v>44</v>
      </c>
      <c r="S73" s="5">
        <f>$H$57*EXP($I$57*R73)</f>
        <v>9.8248404239592232E-4</v>
      </c>
      <c r="T73" s="5">
        <f>$H$58*EXP($I$58*$R73)</f>
        <v>2.9509686404486496E-4</v>
      </c>
      <c r="U73" s="5">
        <f>$H$59*EXP($I$59*$R73)</f>
        <v>4.6635695639113346E-4</v>
      </c>
      <c r="V73" s="5">
        <f>$H$60*EXP($I$60*$R73)</f>
        <v>3.0940557590210732E-6</v>
      </c>
      <c r="W73" s="5">
        <f>$H$61*EXP($I$61*$R73)</f>
        <v>4.9959850042780755E-7</v>
      </c>
      <c r="X73" s="5">
        <f>$H$62*EXP($I$62*$R73)</f>
        <v>7.0336805413472839E-7</v>
      </c>
      <c r="Y73" s="5">
        <f>$H$63*EXP($I$63*$R73)</f>
        <v>2.2926852284232868E-6</v>
      </c>
      <c r="Z73" s="5">
        <f>$H$64*EXP($I$64*$R73)</f>
        <v>1.201248763410778E-5</v>
      </c>
      <c r="AA73" s="5">
        <f>$H$65*EXP($I$65*$R73)</f>
        <v>8.3641347936194702E-5</v>
      </c>
      <c r="AB73" s="5">
        <f>$H$66*EXP($I$66*$R73)</f>
        <v>7.190727287632054E-5</v>
      </c>
      <c r="AC73" s="5">
        <f>$H$67*EXP($I$67*$R73)</f>
        <v>5.8251405052088714E-5</v>
      </c>
      <c r="AD73" s="5">
        <f>$H$68*EXP($I$68*$R73)</f>
        <v>1.9335044789888986E-4</v>
      </c>
      <c r="AE73" s="5">
        <f>$H$69*EXP($I$69*$R73)</f>
        <v>2.6320740602264026E-4</v>
      </c>
      <c r="AF73" s="5">
        <f>$H$70*EXP($I$70*$R73)</f>
        <v>8.3135647293338126E-4</v>
      </c>
      <c r="AG73" s="5">
        <f>$H$71*EXP($I$71*$R73)</f>
        <v>6.8860695427215275E-4</v>
      </c>
      <c r="AH73" s="5">
        <f ca="1">$H$72*EXP($I$72*$R73)</f>
        <v>2.5238990615662409E-2</v>
      </c>
      <c r="AI73" s="5">
        <f ca="1">$H$73*EXP($I$73*$R73)</f>
        <v>2.1883260312619234E-2</v>
      </c>
      <c r="AJ73" s="5">
        <f ca="1">$H$74*EXP($I$74*$R73)</f>
        <v>3.309422593312758E-2</v>
      </c>
      <c r="AK73" s="6">
        <f ca="1">$H$75*EXP($I$75*$R73)</f>
        <v>2.3446072725694305E-2</v>
      </c>
    </row>
    <row r="74" spans="1:37" x14ac:dyDescent="0.2">
      <c r="A74" s="4">
        <v>19</v>
      </c>
      <c r="B74" s="5">
        <f ca="1">IF(W23=0, AVERAGE(B73,B75), W23)</f>
        <v>4</v>
      </c>
      <c r="C74" s="5">
        <f ca="1">H74*EXP(I74*A74)</f>
        <v>2.2733099112561779</v>
      </c>
      <c r="D74" s="5"/>
      <c r="E74" s="5">
        <f ca="1">COUNT($B$56:$B74)*VARP($B$56:$B74)</f>
        <v>3366.1052631578946</v>
      </c>
      <c r="F74" s="30">
        <f t="shared" ca="1" si="9"/>
        <v>3345.8232306236109</v>
      </c>
      <c r="G74" s="5">
        <f ca="1">SUMXMY2($B$56:$B74,$C$56:$C74)</f>
        <v>20.282032534283552</v>
      </c>
      <c r="H74" s="5">
        <f t="shared" ca="1" si="10"/>
        <v>56.58580817647821</v>
      </c>
      <c r="I74" s="5">
        <f t="shared" ca="1" si="11"/>
        <v>-0.16918533340366845</v>
      </c>
      <c r="J74" s="5">
        <f t="shared" ca="1" si="12"/>
        <v>0.99397462914892443</v>
      </c>
      <c r="K74" s="5">
        <f ca="1">SQRT(G74/COUNT($B$56:B74))</f>
        <v>1.0331870094717799</v>
      </c>
      <c r="L74" s="5"/>
      <c r="M74" s="5">
        <f ca="1">EXP(INDEX(LINEST(LN(B$56:B74),A$56:A74),1,2))</f>
        <v>56.58580817647821</v>
      </c>
      <c r="N74" s="6">
        <f ca="1">INDEX(LINEST(LN(B$56:B74),A$56:A74),1)</f>
        <v>-0.16918533340366845</v>
      </c>
      <c r="R74" s="4">
        <v>45</v>
      </c>
      <c r="S74" s="5">
        <f>$H$57*EXP($I$57*R74)</f>
        <v>7.5323776583687484E-4</v>
      </c>
      <c r="T74" s="5">
        <f>$H$58*EXP($I$58*$R74)</f>
        <v>2.1995221598377726E-4</v>
      </c>
      <c r="U74" s="5">
        <f>$H$59*EXP($I$59*$R74)</f>
        <v>3.5138011441710279E-4</v>
      </c>
      <c r="V74" s="5">
        <f>$H$60*EXP($I$60*$R74)</f>
        <v>2.0688317959414401E-6</v>
      </c>
      <c r="W74" s="5">
        <f>$H$61*EXP($I$61*$R74)</f>
        <v>3.1975136282701058E-7</v>
      </c>
      <c r="X74" s="5">
        <f>$H$62*EXP($I$62*$R74)</f>
        <v>4.5390832455303186E-7</v>
      </c>
      <c r="Y74" s="5">
        <f>$H$63*EXP($I$63*$R74)</f>
        <v>1.5228112703036889E-6</v>
      </c>
      <c r="Z74" s="5">
        <f>$H$64*EXP($I$64*$R74)</f>
        <v>8.3104018713769591E-6</v>
      </c>
      <c r="AA74" s="5">
        <f>$H$65*EXP($I$65*$R74)</f>
        <v>6.0716351602535409E-5</v>
      </c>
      <c r="AB74" s="5">
        <f>$H$66*EXP($I$66*$R74)</f>
        <v>5.2001546220388296E-5</v>
      </c>
      <c r="AC74" s="5">
        <f>$H$67*EXP($I$67*$R74)</f>
        <v>4.1902889170004654E-5</v>
      </c>
      <c r="AD74" s="5">
        <f>$H$68*EXP($I$68*$R74)</f>
        <v>1.4339350949993396E-4</v>
      </c>
      <c r="AE74" s="5">
        <f>$H$69*EXP($I$69*$R74)</f>
        <v>1.9675107188650153E-4</v>
      </c>
      <c r="AF74" s="5">
        <f>$H$70*EXP($I$70*$R74)</f>
        <v>6.4021243903180335E-4</v>
      </c>
      <c r="AG74" s="5">
        <f>$H$71*EXP($I$71*$R74)</f>
        <v>5.276839714705798E-4</v>
      </c>
      <c r="AH74" s="5">
        <f ca="1">$H$72*EXP($I$72*$R74)</f>
        <v>2.1155772537004042E-2</v>
      </c>
      <c r="AI74" s="5">
        <f ca="1">$H$73*EXP($I$73*$R74)</f>
        <v>1.8273594300256608E-2</v>
      </c>
      <c r="AJ74" s="5">
        <f ca="1">$H$74*EXP($I$74*$R74)</f>
        <v>2.7943189164905388E-2</v>
      </c>
      <c r="AK74" s="6">
        <f ca="1">$H$75*EXP($I$75*$R74)</f>
        <v>1.9613196901841615E-2</v>
      </c>
    </row>
    <row r="75" spans="1:37" x14ac:dyDescent="0.2">
      <c r="A75" s="7">
        <v>20</v>
      </c>
      <c r="B75" s="8">
        <f ca="1">IF(W24=0, AVERAGE(B74,AC27), W24)</f>
        <v>1</v>
      </c>
      <c r="C75" s="8">
        <f ca="1">O46</f>
        <v>2.9050695340548098</v>
      </c>
      <c r="D75" s="8"/>
      <c r="E75" s="8">
        <f ca="1">COUNT($B$56:$B75)*VARP($B$56:$B75)</f>
        <v>3570.9500000000003</v>
      </c>
      <c r="F75" s="31">
        <f ca="1">E75-G75</f>
        <v>3547.038677536133</v>
      </c>
      <c r="G75" s="8">
        <f ca="1">SUMXMY2($B$56:$B75,$C$56:$C75)</f>
        <v>23.911322463867361</v>
      </c>
      <c r="H75" s="8">
        <f t="shared" ca="1" si="10"/>
        <v>60.398445600212561</v>
      </c>
      <c r="I75" s="8">
        <f t="shared" ca="1" si="11"/>
        <v>-0.17850035550029739</v>
      </c>
      <c r="J75" s="8">
        <f t="shared" ca="1" si="12"/>
        <v>0.99330393243706372</v>
      </c>
      <c r="K75" s="8">
        <f ca="1">SQRT(G75/COUNT(B56:B75))</f>
        <v>1.0934194635149714</v>
      </c>
      <c r="L75" s="8"/>
      <c r="M75" s="8">
        <f ca="1">EXP(INDEX(LINEST(LN(B$56:B75),A$56:A75),1,2))</f>
        <v>60.398445600212561</v>
      </c>
      <c r="N75" s="9">
        <f ca="1">INDEX(LINEST(LN(B$56:B75),A$56:A75),1)</f>
        <v>-0.17850035550029739</v>
      </c>
      <c r="R75" s="4">
        <v>46</v>
      </c>
      <c r="S75" s="5">
        <f>$H$57*EXP($I$57*R75)</f>
        <v>5.7748228714160372E-4</v>
      </c>
      <c r="T75" s="5">
        <f>$H$58*EXP($I$58*$R75)</f>
        <v>1.6394270224714727E-4</v>
      </c>
      <c r="U75" s="5">
        <f>$H$59*EXP($I$59*$R75)</f>
        <v>2.6474995840787557E-4</v>
      </c>
      <c r="V75" s="5">
        <f>$H$60*EXP($I$60*$R75)</f>
        <v>1.3833186384632099E-6</v>
      </c>
      <c r="W75" s="5">
        <f>$H$61*EXP($I$61*$R75)</f>
        <v>2.0464619878198536E-7</v>
      </c>
      <c r="X75" s="5">
        <f>$H$62*EXP($I$62*$R75)</f>
        <v>2.9292312308951614E-7</v>
      </c>
      <c r="Y75" s="5">
        <f>$H$63*EXP($I$63*$R75)</f>
        <v>1.0114577161378204E-6</v>
      </c>
      <c r="Z75" s="5">
        <f>$H$64*EXP($I$64*$R75)</f>
        <v>5.7492487291051439E-6</v>
      </c>
      <c r="AA75" s="5">
        <f>$H$65*EXP($I$65*$R75)</f>
        <v>4.4074796053441371E-5</v>
      </c>
      <c r="AB75" s="5">
        <f>$H$66*EXP($I$66*$R75)</f>
        <v>3.7606221194931036E-5</v>
      </c>
      <c r="AC75" s="5">
        <f>$H$67*EXP($I$67*$R75)</f>
        <v>3.0142656974945081E-5</v>
      </c>
      <c r="AD75" s="5">
        <f>$H$68*EXP($I$68*$R75)</f>
        <v>1.0634419930312301E-4</v>
      </c>
      <c r="AE75" s="5">
        <f>$H$69*EXP($I$69*$R75)</f>
        <v>1.4707406935638242E-4</v>
      </c>
      <c r="AF75" s="5">
        <f>$H$70*EXP($I$70*$R75)</f>
        <v>4.9301590886138987E-4</v>
      </c>
      <c r="AG75" s="5">
        <f>$H$71*EXP($I$71*$R75)</f>
        <v>4.0436764691300872E-4</v>
      </c>
      <c r="AH75" s="5">
        <f ca="1">$H$72*EXP($I$72*$R75)</f>
        <v>1.7733146243959132E-2</v>
      </c>
      <c r="AI75" s="5">
        <f ca="1">$H$73*EXP($I$73*$R75)</f>
        <v>1.5259346362470914E-2</v>
      </c>
      <c r="AJ75" s="5">
        <f ca="1">$H$74*EXP($I$74*$R75)</f>
        <v>2.3593898895942378E-2</v>
      </c>
      <c r="AK75" s="6">
        <f ca="1">$H$75*EXP($I$75*$R75)</f>
        <v>1.6406905208002937E-2</v>
      </c>
    </row>
    <row r="76" spans="1:37" x14ac:dyDescent="0.2">
      <c r="R76" s="4">
        <v>47</v>
      </c>
      <c r="S76" s="5">
        <f>$H$57*EXP($I$57*R76)</f>
        <v>4.4273642014189675E-4</v>
      </c>
      <c r="T76" s="5">
        <f>$H$58*EXP($I$58*$R76)</f>
        <v>1.2219567554654296E-4</v>
      </c>
      <c r="U76" s="5">
        <f>$H$59*EXP($I$59*$R76)</f>
        <v>1.9947782359069192E-4</v>
      </c>
      <c r="V76" s="5">
        <f>$H$60*EXP($I$60*$R76)</f>
        <v>9.2495216830758441E-7</v>
      </c>
      <c r="W76" s="5">
        <f>$H$61*EXP($I$61*$R76)</f>
        <v>1.3097697631573038E-7</v>
      </c>
      <c r="X76" s="5">
        <f>$H$62*EXP($I$62*$R76)</f>
        <v>1.8903366913353672E-7</v>
      </c>
      <c r="Y76" s="5">
        <f>$H$63*EXP($I$63*$R76)</f>
        <v>6.7181451272731457E-7</v>
      </c>
      <c r="Z76" s="5">
        <f>$H$64*EXP($I$64*$R76)</f>
        <v>3.977408248205511E-6</v>
      </c>
      <c r="AA76" s="5">
        <f>$H$65*EXP($I$65*$R76)</f>
        <v>3.1994472590664165E-5</v>
      </c>
      <c r="AB76" s="5">
        <f>$H$66*EXP($I$66*$R76)</f>
        <v>2.7195881187232953E-5</v>
      </c>
      <c r="AC76" s="5">
        <f>$H$67*EXP($I$67*$R76)</f>
        <v>2.1682986245244292E-5</v>
      </c>
      <c r="AD76" s="5">
        <f>$H$68*EXP($I$68*$R76)</f>
        <v>7.8867507775361027E-5</v>
      </c>
      <c r="AE76" s="5">
        <f>$H$69*EXP($I$69*$R76)</f>
        <v>1.0993984261251692E-4</v>
      </c>
      <c r="AF76" s="5">
        <f>$H$70*EXP($I$70*$R76)</f>
        <v>3.7966254882209157E-4</v>
      </c>
      <c r="AG76" s="5">
        <f>$H$71*EXP($I$71*$R76)</f>
        <v>3.0986954827199979E-4</v>
      </c>
      <c r="AH76" s="5">
        <f ca="1">$H$72*EXP($I$72*$R76)</f>
        <v>1.4864239779455266E-2</v>
      </c>
      <c r="AI76" s="5">
        <f ca="1">$H$73*EXP($I$73*$R76)</f>
        <v>1.2742301683177052E-2</v>
      </c>
      <c r="AJ76" s="5">
        <f ca="1">$H$74*EXP($I$74*$R76)</f>
        <v>1.9921565209567779E-2</v>
      </c>
      <c r="AK76" s="6">
        <f ca="1">$H$75*EXP($I$75*$R76)</f>
        <v>1.3724766026242168E-2</v>
      </c>
    </row>
    <row r="77" spans="1:37" x14ac:dyDescent="0.2">
      <c r="R77" s="4">
        <v>48</v>
      </c>
      <c r="S77" s="5">
        <f>$H$57*EXP($I$57*R77)</f>
        <v>3.3943125544212065E-4</v>
      </c>
      <c r="T77" s="5">
        <f>$H$58*EXP($I$58*$R77)</f>
        <v>9.1079279026192803E-5</v>
      </c>
      <c r="U77" s="5">
        <f>$H$59*EXP($I$59*$R77)</f>
        <v>1.5029804855786342E-4</v>
      </c>
      <c r="V77" s="5">
        <f>$H$60*EXP($I$60*$R77)</f>
        <v>6.1846670020101468E-7</v>
      </c>
      <c r="W77" s="5">
        <f>$H$61*EXP($I$61*$R77)</f>
        <v>8.3827446719824021E-8</v>
      </c>
      <c r="X77" s="5">
        <f>$H$62*EXP($I$62*$R77)</f>
        <v>1.2199012385637947E-7</v>
      </c>
      <c r="Y77" s="5">
        <f>$H$63*EXP($I$63*$R77)</f>
        <v>4.4622205388321001E-7</v>
      </c>
      <c r="Z77" s="5">
        <f>$H$64*EXP($I$64*$R77)</f>
        <v>2.7516249719388091E-6</v>
      </c>
      <c r="AA77" s="5">
        <f>$H$65*EXP($I$65*$R77)</f>
        <v>2.3225207329685096E-5</v>
      </c>
      <c r="AB77" s="5">
        <f>$H$66*EXP($I$66*$R77)</f>
        <v>1.9667382950185502E-5</v>
      </c>
      <c r="AC77" s="5">
        <f>$H$67*EXP($I$67*$R77)</f>
        <v>1.5597559727473528E-5</v>
      </c>
      <c r="AD77" s="5">
        <f>$H$68*EXP($I$68*$R77)</f>
        <v>5.8490108754939567E-5</v>
      </c>
      <c r="AE77" s="5">
        <f>$H$69*EXP($I$69*$R77)</f>
        <v>8.2181509266442783E-5</v>
      </c>
      <c r="AF77" s="5">
        <f>$H$70*EXP($I$70*$R77)</f>
        <v>2.9237119611613314E-4</v>
      </c>
      <c r="AG77" s="5">
        <f>$H$71*EXP($I$71*$R77)</f>
        <v>2.3745504290294947E-4</v>
      </c>
      <c r="AH77" s="5">
        <f ca="1">$H$72*EXP($I$72*$R77)</f>
        <v>1.2459471161041484E-2</v>
      </c>
      <c r="AI77" s="5">
        <f ca="1">$H$73*EXP($I$73*$R77)</f>
        <v>1.0640446079946318E-2</v>
      </c>
      <c r="AJ77" s="5">
        <f ca="1">$H$74*EXP($I$74*$R77)</f>
        <v>1.6820821439872926E-2</v>
      </c>
      <c r="AK77" s="6">
        <f ca="1">$H$75*EXP($I$75*$R77)</f>
        <v>1.148109287443245E-2</v>
      </c>
    </row>
    <row r="78" spans="1:37" x14ac:dyDescent="0.2">
      <c r="R78" s="4">
        <v>49</v>
      </c>
      <c r="S78" s="5">
        <f>$H$57*EXP($I$57*R78)</f>
        <v>2.602306291722923E-4</v>
      </c>
      <c r="T78" s="5">
        <f>$H$58*EXP($I$58*$R78)</f>
        <v>6.7886486414745986E-5</v>
      </c>
      <c r="U78" s="5">
        <f>$H$59*EXP($I$59*$R78)</f>
        <v>1.1324318159121877E-4</v>
      </c>
      <c r="V78" s="5">
        <f>$H$60*EXP($I$60*$R78)</f>
        <v>4.1353604257980895E-7</v>
      </c>
      <c r="W78" s="5">
        <f>$H$61*EXP($I$61*$R78)</f>
        <v>5.3650962338798365E-8</v>
      </c>
      <c r="X78" s="5">
        <f>$H$62*EXP($I$62*$R78)</f>
        <v>7.8724548842048502E-8</v>
      </c>
      <c r="Y78" s="5">
        <f>$H$63*EXP($I$63*$R78)</f>
        <v>2.9638258418000314E-7</v>
      </c>
      <c r="Z78" s="5">
        <f>$H$64*EXP($I$64*$R78)</f>
        <v>1.9036114760443032E-6</v>
      </c>
      <c r="AA78" s="5">
        <f>$H$65*EXP($I$65*$R78)</f>
        <v>1.6859482649020281E-5</v>
      </c>
      <c r="AB78" s="5">
        <f>$H$66*EXP($I$66*$R78)</f>
        <v>1.4222960802271506E-5</v>
      </c>
      <c r="AC78" s="5">
        <f>$H$67*EXP($I$67*$R78)</f>
        <v>1.1220035224874235E-5</v>
      </c>
      <c r="AD78" s="5">
        <f>$H$68*EXP($I$68*$R78)</f>
        <v>4.3377721937264596E-5</v>
      </c>
      <c r="AE78" s="5">
        <f>$H$69*EXP($I$69*$R78)</f>
        <v>6.1431782189412418E-5</v>
      </c>
      <c r="AF78" s="5">
        <f>$H$70*EXP($I$70*$R78)</f>
        <v>2.2514971935889906E-4</v>
      </c>
      <c r="AG78" s="5">
        <f>$H$71*EXP($I$71*$R78)</f>
        <v>1.8196333816754265E-4</v>
      </c>
      <c r="AH78" s="5">
        <f ca="1">$H$72*EXP($I$72*$R78)</f>
        <v>1.0443751171680405E-2</v>
      </c>
      <c r="AI78" s="5">
        <f ca="1">$H$73*EXP($I$73*$R78)</f>
        <v>8.8852936930320821E-3</v>
      </c>
      <c r="AJ78" s="5">
        <f ca="1">$H$74*EXP($I$74*$R78)</f>
        <v>1.4202700989388113E-2</v>
      </c>
      <c r="AK78" s="6">
        <f ca="1">$H$75*EXP($I$75*$R78)</f>
        <v>9.6042069744073158E-3</v>
      </c>
    </row>
    <row r="79" spans="1:37" x14ac:dyDescent="0.2">
      <c r="R79" s="4">
        <v>50</v>
      </c>
      <c r="S79" s="5">
        <f>$H$57*EXP($I$57*R79)</f>
        <v>1.9951014903209105E-4</v>
      </c>
      <c r="T79" s="5">
        <f>$H$58*EXP($I$58*$R79)</f>
        <v>5.059959945899602E-5</v>
      </c>
      <c r="U79" s="5">
        <f>$H$59*EXP($I$59*$R79)</f>
        <v>8.5323916710499674E-5</v>
      </c>
      <c r="V79" s="5">
        <f>$H$60*EXP($I$60*$R79)</f>
        <v>2.7650972713161054E-7</v>
      </c>
      <c r="W79" s="5">
        <f>$H$61*EXP($I$61*$R79)</f>
        <v>3.4337509640484405E-8</v>
      </c>
      <c r="X79" s="5">
        <f>$H$62*EXP($I$62*$R79)</f>
        <v>5.0803740454272689E-8</v>
      </c>
      <c r="Y79" s="5">
        <f>$H$63*EXP($I$63*$R79)</f>
        <v>1.9685857173748624E-7</v>
      </c>
      <c r="Z79" s="5">
        <f>$H$64*EXP($I$64*$R79)</f>
        <v>1.3169442379258052E-6</v>
      </c>
      <c r="AA79" s="5">
        <f>$H$65*EXP($I$65*$R79)</f>
        <v>1.2238519603194856E-5</v>
      </c>
      <c r="AB79" s="5">
        <f>$H$66*EXP($I$66*$R79)</f>
        <v>1.0285690500628793E-5</v>
      </c>
      <c r="AC79" s="5">
        <f>$H$67*EXP($I$67*$R79)</f>
        <v>8.071082441548679E-6</v>
      </c>
      <c r="AD79" s="5">
        <f>$H$68*EXP($I$68*$R79)</f>
        <v>3.2169999347244107E-5</v>
      </c>
      <c r="AE79" s="5">
        <f>$H$69*EXP($I$69*$R79)</f>
        <v>4.5921082450944872E-5</v>
      </c>
      <c r="AF79" s="5">
        <f>$H$70*EXP($I$70*$R79)</f>
        <v>1.7338368758889475E-4</v>
      </c>
      <c r="AG79" s="5">
        <f>$H$71*EXP($I$71*$R79)</f>
        <v>1.3943968522331265E-4</v>
      </c>
      <c r="AH79" s="5">
        <f ca="1">$H$72*EXP($I$72*$R79)</f>
        <v>8.7541386890499888E-3</v>
      </c>
      <c r="AI79" s="5">
        <f ca="1">$H$73*EXP($I$73*$R79)</f>
        <v>7.4196554748044794E-3</v>
      </c>
      <c r="AJ79" s="5">
        <f ca="1">$H$74*EXP($I$74*$R79)</f>
        <v>1.199208469782617E-2</v>
      </c>
      <c r="AK79" s="6">
        <f ca="1">$H$75*EXP($I$75*$R79)</f>
        <v>8.0341473251790835E-3</v>
      </c>
    </row>
    <row r="80" spans="1:37" x14ac:dyDescent="0.2">
      <c r="R80" s="4">
        <v>51</v>
      </c>
      <c r="S80" s="5">
        <f>$H$57*EXP($I$57*R80)</f>
        <v>1.5295778092460304E-4</v>
      </c>
      <c r="T80" s="5">
        <f>$H$58*EXP($I$58*$R80)</f>
        <v>3.7714714674858903E-5</v>
      </c>
      <c r="U80" s="5">
        <f>$H$59*EXP($I$59*$R80)</f>
        <v>6.4287939110541545E-5</v>
      </c>
      <c r="V80" s="5">
        <f>$H$60*EXP($I$60*$R80)</f>
        <v>1.8488746161380061E-7</v>
      </c>
      <c r="W80" s="5">
        <f>$H$61*EXP($I$61*$R80)</f>
        <v>2.1976578180736724E-8</v>
      </c>
      <c r="X80" s="5">
        <f>$H$62*EXP($I$62*$R80)</f>
        <v>3.2785453611472768E-8</v>
      </c>
      <c r="Y80" s="5">
        <f>$H$63*EXP($I$63*$R80)</f>
        <v>1.3075429979713933E-7</v>
      </c>
      <c r="Z80" s="5">
        <f>$H$64*EXP($I$64*$R80)</f>
        <v>9.1107988559195388E-7</v>
      </c>
      <c r="AA80" s="5">
        <f>$H$65*EXP($I$65*$R80)</f>
        <v>8.8841019143899386E-6</v>
      </c>
      <c r="AB80" s="5">
        <f>$H$66*EXP($I$66*$R80)</f>
        <v>7.4383548225647317E-6</v>
      </c>
      <c r="AC80" s="5">
        <f>$H$67*EXP($I$67*$R80)</f>
        <v>5.8058972608087847E-6</v>
      </c>
      <c r="AD80" s="5">
        <f>$H$68*EXP($I$68*$R80)</f>
        <v>2.385807303339793E-5</v>
      </c>
      <c r="AE80" s="5">
        <f>$H$69*EXP($I$69*$R80)</f>
        <v>3.4326626028276178E-5</v>
      </c>
      <c r="AF80" s="5">
        <f>$H$70*EXP($I$70*$R80)</f>
        <v>1.3351961178331909E-4</v>
      </c>
      <c r="AG80" s="5">
        <f>$H$71*EXP($I$71*$R80)</f>
        <v>1.0685353440413383E-4</v>
      </c>
      <c r="AH80" s="5">
        <f ca="1">$H$72*EXP($I$72*$R80)</f>
        <v>7.3378753407039718E-3</v>
      </c>
      <c r="AI80" s="5">
        <f ca="1">$H$73*EXP($I$73*$R80)</f>
        <v>6.1957757691192298E-3</v>
      </c>
      <c r="AJ80" s="5">
        <f ca="1">$H$74*EXP($I$74*$R80)</f>
        <v>1.0125545521748838E-2</v>
      </c>
      <c r="AK80" s="6">
        <f ca="1">$H$75*EXP($I$75*$R80)</f>
        <v>6.7207551247785895E-3</v>
      </c>
    </row>
    <row r="81" spans="18:37" x14ac:dyDescent="0.2">
      <c r="R81" s="4">
        <v>52</v>
      </c>
      <c r="S81" s="5">
        <f>$H$57*EXP($I$57*R81)</f>
        <v>1.1726763204219582E-4</v>
      </c>
      <c r="T81" s="5">
        <f>$H$58*EXP($I$58*$R81)</f>
        <v>2.8110888588331131E-5</v>
      </c>
      <c r="U81" s="5">
        <f>$H$59*EXP($I$59*$R81)</f>
        <v>4.8438225463835508E-5</v>
      </c>
      <c r="V81" s="5">
        <f>$H$60*EXP($I$60*$R81)</f>
        <v>1.2362448806628895E-7</v>
      </c>
      <c r="W81" s="5">
        <f>$H$61*EXP($I$61*$R81)</f>
        <v>1.4065376132129423E-8</v>
      </c>
      <c r="X81" s="5">
        <f>$H$62*EXP($I$62*$R81)</f>
        <v>2.1157614752352997E-8</v>
      </c>
      <c r="Y81" s="5">
        <f>$H$63*EXP($I$63*$R81)</f>
        <v>8.6847561498306843E-8</v>
      </c>
      <c r="Z81" s="5">
        <f>$H$64*EXP($I$64*$R81)</f>
        <v>6.3029742188447571E-7</v>
      </c>
      <c r="AA81" s="5">
        <f>$H$65*EXP($I$65*$R81)</f>
        <v>6.4490861137047218E-6</v>
      </c>
      <c r="AB81" s="5">
        <f>$H$66*EXP($I$66*$R81)</f>
        <v>5.3792326789328902E-6</v>
      </c>
      <c r="AC81" s="5">
        <f>$H$67*EXP($I$67*$R81)</f>
        <v>4.1764463747193464E-6</v>
      </c>
      <c r="AD81" s="5">
        <f>$H$68*EXP($I$68*$R81)</f>
        <v>1.7693741386902196E-5</v>
      </c>
      <c r="AE81" s="5">
        <f>$H$69*EXP($I$69*$R81)</f>
        <v>2.56596140943294E-5</v>
      </c>
      <c r="AF81" s="5">
        <f>$H$70*EXP($I$70*$R81)</f>
        <v>1.028210149332993E-4</v>
      </c>
      <c r="AG81" s="5">
        <f>$H$71*EXP($I$71*$R81)</f>
        <v>8.1882555861840768E-5</v>
      </c>
      <c r="AH81" s="5">
        <f ca="1">$H$72*EXP($I$72*$R81)</f>
        <v>6.1507381169391443E-3</v>
      </c>
      <c r="AI81" s="5">
        <f ca="1">$H$73*EXP($I$73*$R81)</f>
        <v>5.1737762638118393E-3</v>
      </c>
      <c r="AJ81" s="5">
        <f ca="1">$H$74*EXP($I$74*$R81)</f>
        <v>8.549528684665908E-3</v>
      </c>
      <c r="AK81" s="6">
        <f ca="1">$H$75*EXP($I$75*$R81)</f>
        <v>5.6220713436109229E-3</v>
      </c>
    </row>
    <row r="82" spans="18:37" x14ac:dyDescent="0.2">
      <c r="R82" s="4">
        <v>53</v>
      </c>
      <c r="S82" s="5">
        <f>$H$57*EXP($I$57*R82)</f>
        <v>8.9905184565683402E-5</v>
      </c>
      <c r="T82" s="5">
        <f>$H$58*EXP($I$58*$R82)</f>
        <v>2.0952619263810507E-5</v>
      </c>
      <c r="U82" s="5">
        <f>$H$59*EXP($I$59*$R82)</f>
        <v>3.6496140933232015E-5</v>
      </c>
      <c r="V82" s="5">
        <f>$H$60*EXP($I$60*$R82)</f>
        <v>8.2661170834697854E-8</v>
      </c>
      <c r="W82" s="5">
        <f>$H$61*EXP($I$61*$R82)</f>
        <v>9.0020750323945129E-9</v>
      </c>
      <c r="X82" s="5">
        <f>$H$62*EXP($I$62*$R82)</f>
        <v>1.3653758380586773E-8</v>
      </c>
      <c r="Y82" s="5">
        <f>$H$63*EXP($I$63*$R82)</f>
        <v>5.7684519361153791E-8</v>
      </c>
      <c r="Z82" s="5">
        <f>$H$64*EXP($I$64*$R82)</f>
        <v>4.3604830522198921E-7</v>
      </c>
      <c r="AA82" s="5">
        <f>$H$65*EXP($I$65*$R82)</f>
        <v>4.6814762035330516E-6</v>
      </c>
      <c r="AB82" s="5">
        <f>$H$66*EXP($I$66*$R82)</f>
        <v>3.8901269036426897E-6</v>
      </c>
      <c r="AC82" s="5">
        <f>$H$67*EXP($I$67*$R82)</f>
        <v>3.0043081262647988E-6</v>
      </c>
      <c r="AD82" s="5">
        <f>$H$68*EXP($I$68*$R82)</f>
        <v>1.3122119453164719E-5</v>
      </c>
      <c r="AE82" s="5">
        <f>$H$69*EXP($I$69*$R82)</f>
        <v>1.9180906242505314E-5</v>
      </c>
      <c r="AF82" s="5">
        <f>$H$70*EXP($I$70*$R82)</f>
        <v>7.9180586063047265E-5</v>
      </c>
      <c r="AG82" s="5">
        <f>$H$71*EXP($I$71*$R82)</f>
        <v>6.2747133184282275E-5</v>
      </c>
      <c r="AH82" s="5">
        <f ca="1">$H$72*EXP($I$72*$R82)</f>
        <v>5.155658501489158E-3</v>
      </c>
      <c r="AI82" s="5">
        <f ca="1">$H$73*EXP($I$73*$R82)</f>
        <v>4.3203566148082356E-3</v>
      </c>
      <c r="AJ82" s="5">
        <f ca="1">$H$74*EXP($I$74*$R82)</f>
        <v>7.218815082399679E-3</v>
      </c>
      <c r="AK82" s="6">
        <f ca="1">$H$75*EXP($I$75*$R82)</f>
        <v>4.702996256494678E-3</v>
      </c>
    </row>
    <row r="83" spans="18:37" x14ac:dyDescent="0.2">
      <c r="R83" s="4">
        <v>54</v>
      </c>
      <c r="S83" s="5">
        <f>$H$57*EXP($I$57*R83)</f>
        <v>6.892730816702403E-5</v>
      </c>
      <c r="T83" s="5">
        <f>$H$58*EXP($I$58*$R83)</f>
        <v>1.5617160326850635E-5</v>
      </c>
      <c r="U83" s="5">
        <f>$H$59*EXP($I$59*$R83)</f>
        <v>2.7498288598800809E-5</v>
      </c>
      <c r="V83" s="5">
        <f>$H$60*EXP($I$60*$R83)</f>
        <v>5.5271162458519043E-8</v>
      </c>
      <c r="W83" s="5">
        <f>$H$61*EXP($I$61*$R83)</f>
        <v>5.7614779816479571E-9</v>
      </c>
      <c r="X83" s="5">
        <f>$H$62*EXP($I$62*$R83)</f>
        <v>8.811254014099613E-9</v>
      </c>
      <c r="Y83" s="5">
        <f>$H$63*EXP($I$63*$R83)</f>
        <v>3.8314302860330721E-8</v>
      </c>
      <c r="Z83" s="5">
        <f>$H$64*EXP($I$64*$R83)</f>
        <v>3.0166413170228594E-7</v>
      </c>
      <c r="AA83" s="5">
        <f>$H$65*EXP($I$65*$R83)</f>
        <v>3.3983449837447418E-6</v>
      </c>
      <c r="AB83" s="5">
        <f>$H$66*EXP($I$66*$R83)</f>
        <v>2.8132427484893175E-6</v>
      </c>
      <c r="AC83" s="5">
        <f>$H$67*EXP($I$67*$R83)</f>
        <v>2.1611356899434E-6</v>
      </c>
      <c r="AD83" s="5">
        <f>$H$68*EXP($I$68*$R83)</f>
        <v>9.731690724867721E-6</v>
      </c>
      <c r="AE83" s="5">
        <f>$H$69*EXP($I$69*$R83)</f>
        <v>1.4337985089381542E-5</v>
      </c>
      <c r="AF83" s="5">
        <f>$H$70*EXP($I$70*$R83)</f>
        <v>6.0975523470126646E-5</v>
      </c>
      <c r="AG83" s="5">
        <f>$H$71*EXP($I$71*$R83)</f>
        <v>4.8083534782295298E-5</v>
      </c>
      <c r="AH83" s="5">
        <f ca="1">$H$72*EXP($I$72*$R83)</f>
        <v>4.3215650022188174E-3</v>
      </c>
      <c r="AI83" s="5">
        <f ca="1">$H$73*EXP($I$73*$R83)</f>
        <v>3.6077094036078847E-3</v>
      </c>
      <c r="AJ83" s="5">
        <f ca="1">$H$74*EXP($I$74*$R83)</f>
        <v>6.0952238557133451E-3</v>
      </c>
      <c r="AK83" s="6">
        <f ca="1">$H$75*EXP($I$75*$R83)</f>
        <v>3.9341681093639303E-3</v>
      </c>
    </row>
    <row r="84" spans="18:37" x14ac:dyDescent="0.2">
      <c r="R84" s="4">
        <v>55</v>
      </c>
      <c r="S84" s="5">
        <f>$H$57*EXP($I$57*R84)</f>
        <v>5.28442695947184E-5</v>
      </c>
      <c r="T84" s="5">
        <f>$H$58*EXP($I$58*$R84)</f>
        <v>1.1640344035450287E-5</v>
      </c>
      <c r="U84" s="5">
        <f>$H$59*EXP($I$59*$R84)</f>
        <v>2.0718789891958486E-5</v>
      </c>
      <c r="V84" s="5">
        <f>$H$60*EXP($I$60*$R84)</f>
        <v>3.6956909376774508E-8</v>
      </c>
      <c r="W84" s="5">
        <f>$H$61*EXP($I$61*$R84)</f>
        <v>3.6874418857387271E-9</v>
      </c>
      <c r="X84" s="5">
        <f>$H$62*EXP($I$62*$R84)</f>
        <v>5.6862143841196577E-9</v>
      </c>
      <c r="Y84" s="5">
        <f>$H$63*EXP($I$63*$R84)</f>
        <v>2.5448522756726405E-8</v>
      </c>
      <c r="Z84" s="5">
        <f>$H$64*EXP($I$64*$R84)</f>
        <v>2.0869533780062738E-7</v>
      </c>
      <c r="AA84" s="5">
        <f>$H$65*EXP($I$65*$R84)</f>
        <v>2.4669032002827127E-6</v>
      </c>
      <c r="AB84" s="5">
        <f>$H$66*EXP($I$66*$R84)</f>
        <v>2.0344669873151945E-6</v>
      </c>
      <c r="AC84" s="5">
        <f>$H$67*EXP($I$67*$R84)</f>
        <v>1.5546033476113213E-6</v>
      </c>
      <c r="AD84" s="5">
        <f>$H$68*EXP($I$68*$R84)</f>
        <v>7.2172643072255748E-6</v>
      </c>
      <c r="AE84" s="5">
        <f>$H$69*EXP($I$69*$R84)</f>
        <v>1.071783646842308E-5</v>
      </c>
      <c r="AF84" s="5">
        <f>$H$70*EXP($I$70*$R84)</f>
        <v>4.6956137196250477E-5</v>
      </c>
      <c r="AG84" s="5">
        <f>$H$71*EXP($I$71*$R84)</f>
        <v>3.6846724301650611E-5</v>
      </c>
      <c r="AH84" s="5">
        <f ca="1">$H$72*EXP($I$72*$R84)</f>
        <v>3.6224129396871712E-3</v>
      </c>
      <c r="AI84" s="5">
        <f ca="1">$H$73*EXP($I$73*$R84)</f>
        <v>3.0126140736320842E-3</v>
      </c>
      <c r="AJ84" s="5">
        <f ca="1">$H$74*EXP($I$74*$R84)</f>
        <v>5.1465169043929948E-3</v>
      </c>
      <c r="AK84" s="6">
        <f ca="1">$H$75*EXP($I$75*$R84)</f>
        <v>3.2910250973221672E-3</v>
      </c>
    </row>
    <row r="85" spans="18:37" x14ac:dyDescent="0.2">
      <c r="R85" s="4">
        <v>56</v>
      </c>
      <c r="S85" s="5">
        <f>$H$57*EXP($I$57*R85)</f>
        <v>4.0513940022617414E-5</v>
      </c>
      <c r="T85" s="5">
        <f>$H$58*EXP($I$58*$R85)</f>
        <v>8.6762001815836893E-6</v>
      </c>
      <c r="U85" s="5">
        <f>$H$59*EXP($I$59*$R85)</f>
        <v>1.5610726211006509E-5</v>
      </c>
      <c r="V85" s="5">
        <f>$H$60*EXP($I$60*$R85)</f>
        <v>2.4711134883551071E-8</v>
      </c>
      <c r="W85" s="5">
        <f>$H$61*EXP($I$61*$R85)</f>
        <v>2.3600242340614067E-9</v>
      </c>
      <c r="X85" s="5">
        <f>$H$62*EXP($I$62*$R85)</f>
        <v>3.6695155956723554E-9</v>
      </c>
      <c r="Y85" s="5">
        <f>$H$63*EXP($I$63*$R85)</f>
        <v>1.6903016945406885E-8</v>
      </c>
      <c r="Z85" s="5">
        <f>$H$64*EXP($I$64*$R85)</f>
        <v>1.443782652380471E-7</v>
      </c>
      <c r="AA85" s="5">
        <f>$H$65*EXP($I$65*$R85)</f>
        <v>1.7907573918111001E-6</v>
      </c>
      <c r="AB85" s="5">
        <f>$H$66*EXP($I$66*$R85)</f>
        <v>1.4712757811952042E-6</v>
      </c>
      <c r="AC85" s="5">
        <f>$H$67*EXP($I$67*$R85)</f>
        <v>1.118297004510445E-6</v>
      </c>
      <c r="AD85" s="5">
        <f>$H$68*EXP($I$68*$R85)</f>
        <v>5.3525030288157321E-6</v>
      </c>
      <c r="AE85" s="5">
        <f>$H$69*EXP($I$69*$R85)</f>
        <v>8.0117267417813203E-6</v>
      </c>
      <c r="AF85" s="5">
        <f>$H$70*EXP($I$70*$R85)</f>
        <v>3.6160063824188731E-5</v>
      </c>
      <c r="AG85" s="5">
        <f>$H$71*EXP($I$71*$R85)</f>
        <v>2.8235883611904464E-5</v>
      </c>
      <c r="AH85" s="5">
        <f ca="1">$H$72*EXP($I$72*$R85)</f>
        <v>3.0363711985995578E-3</v>
      </c>
      <c r="AI85" s="5">
        <f ca="1">$H$73*EXP($I$73*$R85)</f>
        <v>2.5156803226916826E-3</v>
      </c>
      <c r="AJ85" s="5">
        <f ca="1">$H$74*EXP($I$74*$R85)</f>
        <v>4.3454739110813153E-3</v>
      </c>
      <c r="AK85" s="6">
        <f ca="1">$H$75*EXP($I$75*$R85)</f>
        <v>2.7530206869974083E-3</v>
      </c>
    </row>
    <row r="86" spans="18:37" x14ac:dyDescent="0.2">
      <c r="R86" s="4">
        <v>57</v>
      </c>
      <c r="S86" s="5">
        <f>$H$57*EXP($I$57*R86)</f>
        <v>3.1060687350673385E-5</v>
      </c>
      <c r="T86" s="5">
        <f>$H$58*EXP($I$58*$R86)</f>
        <v>6.4668577974723843E-6</v>
      </c>
      <c r="U86" s="5">
        <f>$H$59*EXP($I$59*$R86)</f>
        <v>1.1762017671195652E-5</v>
      </c>
      <c r="V86" s="5">
        <f>$H$60*EXP($I$60*$R86)</f>
        <v>1.6523031755918637E-8</v>
      </c>
      <c r="W86" s="5">
        <f>$H$61*EXP($I$61*$R86)</f>
        <v>1.5104548242233016E-9</v>
      </c>
      <c r="X86" s="5">
        <f>$H$62*EXP($I$62*$R86)</f>
        <v>2.3680684190325958E-9</v>
      </c>
      <c r="Y86" s="5">
        <f>$H$63*EXP($I$63*$R86)</f>
        <v>1.1227055675803207E-8</v>
      </c>
      <c r="Z86" s="5">
        <f>$H$64*EXP($I$64*$R86)</f>
        <v>9.9882842102883286E-8</v>
      </c>
      <c r="AA86" s="5">
        <f>$H$65*EXP($I$65*$R86)</f>
        <v>1.2999342803392514E-6</v>
      </c>
      <c r="AB86" s="5">
        <f>$H$66*EXP($I$66*$R86)</f>
        <v>1.0639899481427143E-6</v>
      </c>
      <c r="AC86" s="5">
        <f>$H$67*EXP($I$67*$R86)</f>
        <v>8.0444197693166402E-7</v>
      </c>
      <c r="AD86" s="5">
        <f>$H$68*EXP($I$68*$R86)</f>
        <v>3.969549604106809E-6</v>
      </c>
      <c r="AE86" s="5">
        <f>$H$69*EXP($I$69*$R86)</f>
        <v>5.9888733676879551E-6</v>
      </c>
      <c r="AF86" s="5">
        <f>$H$70*EXP($I$70*$R86)</f>
        <v>2.7846204859325878E-5</v>
      </c>
      <c r="AG86" s="5">
        <f>$H$71*EXP($I$71*$R86)</f>
        <v>2.1637340590118659E-5</v>
      </c>
      <c r="AH86" s="5">
        <f ca="1">$H$72*EXP($I$72*$R86)</f>
        <v>2.5451405483553485E-3</v>
      </c>
      <c r="AI86" s="5">
        <f ca="1">$H$73*EXP($I$73*$R86)</f>
        <v>2.1007162986356729E-3</v>
      </c>
      <c r="AJ86" s="5">
        <f ca="1">$H$74*EXP($I$74*$R86)</f>
        <v>3.6691113354295974E-3</v>
      </c>
      <c r="AK86" s="6">
        <f ca="1">$H$75*EXP($I$75*$R86)</f>
        <v>2.3029672150487825E-3</v>
      </c>
    </row>
    <row r="87" spans="18:37" x14ac:dyDescent="0.2">
      <c r="R87" s="4">
        <v>58</v>
      </c>
      <c r="S87" s="5">
        <f>$H$57*EXP($I$57*R87)</f>
        <v>2.3813193635516252E-5</v>
      </c>
      <c r="T87" s="5">
        <f>$H$58*EXP($I$58*$R87)</f>
        <v>4.8201112119909234E-6</v>
      </c>
      <c r="U87" s="5">
        <f>$H$59*EXP($I$59*$R87)</f>
        <v>8.8621796210849508E-6</v>
      </c>
      <c r="V87" s="5">
        <f>$H$60*EXP($I$60*$R87)</f>
        <v>1.1048079325115286E-8</v>
      </c>
      <c r="W87" s="5">
        <f>$H$61*EXP($I$61*$R87)</f>
        <v>9.6671624938918935E-10</v>
      </c>
      <c r="X87" s="5">
        <f>$H$62*EXP($I$62*$R87)</f>
        <v>1.5281984477278249E-9</v>
      </c>
      <c r="Y87" s="5">
        <f>$H$63*EXP($I$63*$R87)</f>
        <v>7.4570580834586547E-9</v>
      </c>
      <c r="Z87" s="5">
        <f>$H$64*EXP($I$64*$R87)</f>
        <v>6.9100304883843511E-8</v>
      </c>
      <c r="AA87" s="5">
        <f>$H$65*EXP($I$65*$R87)</f>
        <v>9.4363934552413176E-7</v>
      </c>
      <c r="AB87" s="5">
        <f>$H$66*EXP($I$66*$R87)</f>
        <v>7.6945099227357967E-7</v>
      </c>
      <c r="AC87" s="5">
        <f>$H$67*EXP($I$67*$R87)</f>
        <v>5.786717586112247E-7</v>
      </c>
      <c r="AD87" s="5">
        <f>$H$68*EXP($I$68*$R87)</f>
        <v>2.943916887974366E-6</v>
      </c>
      <c r="AE87" s="5">
        <f>$H$69*EXP($I$69*$R87)</f>
        <v>4.4767632958769192E-6</v>
      </c>
      <c r="AF87" s="5">
        <f>$H$70*EXP($I$70*$R87)</f>
        <v>2.1443853883599747E-5</v>
      </c>
      <c r="AG87" s="5">
        <f>$H$71*EXP($I$71*$R87)</f>
        <v>1.6580834311677416E-5</v>
      </c>
      <c r="AH87" s="5">
        <f ca="1">$H$72*EXP($I$72*$R87)</f>
        <v>2.1333822471607694E-3</v>
      </c>
      <c r="AI87" s="5">
        <f ca="1">$H$73*EXP($I$73*$R87)</f>
        <v>1.7542010117691808E-3</v>
      </c>
      <c r="AJ87" s="5">
        <f ca="1">$H$74*EXP($I$74*$R87)</f>
        <v>3.0980229699337954E-3</v>
      </c>
      <c r="AK87" s="6">
        <f ca="1">$H$75*EXP($I$75*$R87)</f>
        <v>1.9264867927214888E-3</v>
      </c>
    </row>
    <row r="88" spans="18:37" x14ac:dyDescent="0.2">
      <c r="R88" s="4">
        <v>59</v>
      </c>
      <c r="S88" s="5">
        <f>$H$57*EXP($I$57*R88)</f>
        <v>1.8256781787229147E-5</v>
      </c>
      <c r="T88" s="5">
        <f>$H$58*EXP($I$58*$R88)</f>
        <v>3.5926987763735353E-6</v>
      </c>
      <c r="U88" s="5">
        <f>$H$59*EXP($I$59*$R88)</f>
        <v>6.6772750927511313E-6</v>
      </c>
      <c r="V88" s="5">
        <f>$H$60*EXP($I$60*$R88)</f>
        <v>7.3872675775931541E-9</v>
      </c>
      <c r="W88" s="5">
        <f>$H$61*EXP($I$61*$R88)</f>
        <v>6.1871450363545891E-10</v>
      </c>
      <c r="X88" s="5">
        <f>$H$62*EXP($I$62*$R88)</f>
        <v>9.8620059997750725E-10</v>
      </c>
      <c r="Y88" s="5">
        <f>$H$63*EXP($I$63*$R88)</f>
        <v>4.9530096639605343E-9</v>
      </c>
      <c r="Z88" s="5">
        <f>$H$64*EXP($I$64*$R88)</f>
        <v>4.7804528130285452E-8</v>
      </c>
      <c r="AA88" s="5">
        <f>$H$65*EXP($I$65*$R88)</f>
        <v>6.8500017876966932E-7</v>
      </c>
      <c r="AB88" s="5">
        <f>$H$66*EXP($I$66*$R88)</f>
        <v>5.56447765831133E-7</v>
      </c>
      <c r="AC88" s="5">
        <f>$H$67*EXP($I$67*$R88)</f>
        <v>4.1626495610217687E-7</v>
      </c>
      <c r="AD88" s="5">
        <f>$H$68*EXP($I$68*$R88)</f>
        <v>2.1832821119893107E-6</v>
      </c>
      <c r="AE88" s="5">
        <f>$H$69*EXP($I$69*$R88)</f>
        <v>3.3464407037625886E-6</v>
      </c>
      <c r="AF88" s="5">
        <f>$H$70*EXP($I$70*$R88)</f>
        <v>1.6513520305700545E-5</v>
      </c>
      <c r="AG88" s="5">
        <f>$H$71*EXP($I$71*$R88)</f>
        <v>1.2706000782593933E-5</v>
      </c>
      <c r="AH88" s="5">
        <f ca="1">$H$72*EXP($I$72*$R88)</f>
        <v>1.7882390877948819E-3</v>
      </c>
      <c r="AI88" s="5">
        <f ca="1">$H$73*EXP($I$73*$R88)</f>
        <v>1.4648437733788891E-3</v>
      </c>
      <c r="AJ88" s="5">
        <f ca="1">$H$74*EXP($I$74*$R88)</f>
        <v>2.6158231366706802E-3</v>
      </c>
      <c r="AK88" s="6">
        <f ca="1">$H$75*EXP($I$75*$R88)</f>
        <v>1.6115519744607884E-3</v>
      </c>
    </row>
    <row r="89" spans="18:37" x14ac:dyDescent="0.2">
      <c r="R89" s="4">
        <v>60</v>
      </c>
      <c r="S89" s="5">
        <f>$H$57*EXP($I$57*R89)</f>
        <v>1.3996866036875674E-5</v>
      </c>
      <c r="T89" s="5">
        <f>$H$58*EXP($I$58*$R89)</f>
        <v>2.6778395622171807E-6</v>
      </c>
      <c r="U89" s="5">
        <f>$H$59*EXP($I$59*$R89)</f>
        <v>5.0310425392637619E-6</v>
      </c>
      <c r="V89" s="5">
        <f>$H$60*EXP($I$60*$R89)</f>
        <v>4.9394759629307404E-9</v>
      </c>
      <c r="W89" s="5">
        <f>$H$61*EXP($I$61*$R89)</f>
        <v>3.9598758917184415E-10</v>
      </c>
      <c r="X89" s="5">
        <f>$H$62*EXP($I$62*$R89)</f>
        <v>6.3643018669602532E-10</v>
      </c>
      <c r="Y89" s="5">
        <f>$H$63*EXP($I$63*$R89)</f>
        <v>3.2898100640659142E-9</v>
      </c>
      <c r="Z89" s="5">
        <f>$H$64*EXP($I$64*$R89)</f>
        <v>3.307182093625723E-8</v>
      </c>
      <c r="AA89" s="5">
        <f>$H$65*EXP($I$65*$R89)</f>
        <v>4.9725061501526914E-7</v>
      </c>
      <c r="AB89" s="5">
        <f>$H$66*EXP($I$66*$R89)</f>
        <v>4.024091452316528E-7</v>
      </c>
      <c r="AC89" s="5">
        <f>$H$67*EXP($I$67*$R89)</f>
        <v>2.9943834496882968E-7</v>
      </c>
      <c r="AD89" s="5">
        <f>$H$68*EXP($I$68*$R89)</f>
        <v>1.6191764108572984E-6</v>
      </c>
      <c r="AE89" s="5">
        <f>$H$69*EXP($I$69*$R89)</f>
        <v>2.5015093815911635E-6</v>
      </c>
      <c r="AF89" s="5">
        <f>$H$70*EXP($I$70*$R89)</f>
        <v>1.2716760446467266E-5</v>
      </c>
      <c r="AG89" s="5">
        <f>$H$71*EXP($I$71*$R89)</f>
        <v>9.7366907389924435E-6</v>
      </c>
      <c r="AH89" s="5">
        <f ca="1">$H$72*EXP($I$72*$R89)</f>
        <v>1.4989339296196404E-3</v>
      </c>
      <c r="AI89" s="5">
        <f ca="1">$H$73*EXP($I$73*$R89)</f>
        <v>1.2232163053211395E-3</v>
      </c>
      <c r="AJ89" s="5">
        <f ca="1">$H$74*EXP($I$74*$R89)</f>
        <v>2.2086765491244479E-3</v>
      </c>
      <c r="AK89" s="6">
        <f ca="1">$H$75*EXP($I$75*$R89)</f>
        <v>1.3481015162941357E-3</v>
      </c>
    </row>
    <row r="90" spans="18:37" x14ac:dyDescent="0.2">
      <c r="R90" s="4">
        <v>61</v>
      </c>
      <c r="S90" s="5">
        <f>$H$57*EXP($I$57*R90)</f>
        <v>1.0730930628271364E-5</v>
      </c>
      <c r="T90" s="5">
        <f>$H$58*EXP($I$58*$R90)</f>
        <v>1.9959437646519648E-6</v>
      </c>
      <c r="U90" s="5">
        <f>$H$59*EXP($I$59*$R90)</f>
        <v>3.7906763882410028E-6</v>
      </c>
      <c r="V90" s="5">
        <f>$H$60*EXP($I$60*$R90)</f>
        <v>3.3027668934553222E-9</v>
      </c>
      <c r="W90" s="5">
        <f>$H$61*EXP($I$61*$R90)</f>
        <v>2.5343865362257296E-10</v>
      </c>
      <c r="X90" s="5">
        <f>$H$62*EXP($I$62*$R90)</f>
        <v>4.107109471918562E-10</v>
      </c>
      <c r="Y90" s="5">
        <f>$H$63*EXP($I$63*$R90)</f>
        <v>2.1851058229059034E-9</v>
      </c>
      <c r="Z90" s="5">
        <f>$H$64*EXP($I$64*$R90)</f>
        <v>2.2879534278823699E-8</v>
      </c>
      <c r="AA90" s="5">
        <f>$H$65*EXP($I$65*$R90)</f>
        <v>3.6096074394778182E-7</v>
      </c>
      <c r="AB90" s="5">
        <f>$H$66*EXP($I$66*$R90)</f>
        <v>2.9101225687230522E-7</v>
      </c>
      <c r="AC90" s="5">
        <f>$H$67*EXP($I$67*$R90)</f>
        <v>2.1539964179848783E-7</v>
      </c>
      <c r="AD90" s="5">
        <f>$H$68*EXP($I$68*$R90)</f>
        <v>1.2008215681700917E-6</v>
      </c>
      <c r="AE90" s="5">
        <f>$H$69*EXP($I$69*$R90)</f>
        <v>1.8699118676009625E-6</v>
      </c>
      <c r="AF90" s="5">
        <f>$H$70*EXP($I$70*$R90)</f>
        <v>9.7929450086429603E-6</v>
      </c>
      <c r="AG90" s="5">
        <f>$H$71*EXP($I$71*$R90)</f>
        <v>7.4612892104219804E-6</v>
      </c>
      <c r="AH90" s="5">
        <f ca="1">$H$72*EXP($I$72*$R90)</f>
        <v>1.2564331809431395E-3</v>
      </c>
      <c r="AI90" s="5">
        <f ca="1">$H$73*EXP($I$73*$R90)</f>
        <v>1.0214455335070633E-3</v>
      </c>
      <c r="AJ90" s="5">
        <f ca="1">$H$74*EXP($I$74*$R90)</f>
        <v>1.8649013498906247E-3</v>
      </c>
      <c r="AK90" s="6">
        <f ca="1">$H$75*EXP($I$75*$R90)</f>
        <v>1.1277189485884419E-3</v>
      </c>
    </row>
    <row r="91" spans="18:37" x14ac:dyDescent="0.2">
      <c r="R91" s="4">
        <v>62</v>
      </c>
      <c r="S91" s="5">
        <f>$H$57*EXP($I$57*R91)</f>
        <v>8.2270468150080547E-6</v>
      </c>
      <c r="T91" s="5">
        <f>$H$58*EXP($I$58*$R91)</f>
        <v>1.4876886456762122E-6</v>
      </c>
      <c r="U91" s="5">
        <f>$H$59*EXP($I$59*$R91)</f>
        <v>2.856113294257821E-6</v>
      </c>
      <c r="V91" s="5">
        <f>$H$60*EXP($I$60*$R91)</f>
        <v>2.2083859167182487E-9</v>
      </c>
      <c r="W91" s="5">
        <f>$H$61*EXP($I$61*$R91)</f>
        <v>1.6220496022199402E-10</v>
      </c>
      <c r="X91" s="5">
        <f>$H$62*EXP($I$62*$R91)</f>
        <v>2.6504632506345669E-10</v>
      </c>
      <c r="Y91" s="5">
        <f>$H$63*EXP($I$63*$R91)</f>
        <v>1.451356572055772E-9</v>
      </c>
      <c r="Z91" s="5">
        <f>$H$64*EXP($I$64*$R91)</f>
        <v>1.5828372130606744E-8</v>
      </c>
      <c r="AA91" s="5">
        <f>$H$65*EXP($I$65*$R91)</f>
        <v>2.6202613880595242E-7</v>
      </c>
      <c r="AB91" s="5">
        <f>$H$66*EXP($I$66*$R91)</f>
        <v>2.1045280569148243E-7</v>
      </c>
      <c r="AC91" s="5">
        <f>$H$67*EXP($I$67*$R91)</f>
        <v>1.549467744077548E-7</v>
      </c>
      <c r="AD91" s="5">
        <f>$H$68*EXP($I$68*$R91)</f>
        <v>8.9055919349702505E-7</v>
      </c>
      <c r="AE91" s="5">
        <f>$H$69*EXP($I$69*$R91)</f>
        <v>1.3977842411171886E-6</v>
      </c>
      <c r="AF91" s="5">
        <f>$H$70*EXP($I$70*$R91)</f>
        <v>7.5413681295653177E-6</v>
      </c>
      <c r="AG91" s="5">
        <f>$H$71*EXP($I$71*$R91)</f>
        <v>5.7176342736875521E-6</v>
      </c>
      <c r="AH91" s="5">
        <f ca="1">$H$72*EXP($I$72*$R91)</f>
        <v>1.0531647239284752E-3</v>
      </c>
      <c r="AI91" s="5">
        <f ca="1">$H$73*EXP($I$73*$R91)</f>
        <v>8.5295705541434314E-4</v>
      </c>
      <c r="AJ91" s="5">
        <f ca="1">$H$74*EXP($I$74*$R91)</f>
        <v>1.5746339346078303E-3</v>
      </c>
      <c r="AK91" s="6">
        <f ca="1">$H$75*EXP($I$75*$R91)</f>
        <v>9.4336369452457762E-4</v>
      </c>
    </row>
    <row r="92" spans="18:37" x14ac:dyDescent="0.2">
      <c r="R92" s="4">
        <v>63</v>
      </c>
      <c r="S92" s="5">
        <f>$H$57*EXP($I$57*R92)</f>
        <v>6.307402558172827E-6</v>
      </c>
      <c r="T92" s="5">
        <f>$H$58*EXP($I$58*$R92)</f>
        <v>1.1088576470288699E-6</v>
      </c>
      <c r="U92" s="5">
        <f>$H$59*EXP($I$59*$R92)</f>
        <v>2.1519597861060311E-6</v>
      </c>
      <c r="V92" s="5">
        <f>$H$60*EXP($I$60*$R92)</f>
        <v>1.4766311139982533E-9</v>
      </c>
      <c r="W92" s="5">
        <f>$H$61*EXP($I$61*$R92)</f>
        <v>1.0381387663067732E-10</v>
      </c>
      <c r="X92" s="5">
        <f>$H$62*EXP($I$62*$R92)</f>
        <v>1.7104378373636999E-10</v>
      </c>
      <c r="Y92" s="5">
        <f>$H$63*EXP($I$63*$R92)</f>
        <v>9.6399720195161925E-10</v>
      </c>
      <c r="Z92" s="5">
        <f>$H$64*EXP($I$64*$R92)</f>
        <v>1.0950282521128671E-8</v>
      </c>
      <c r="AA92" s="5">
        <f>$H$65*EXP($I$65*$R92)</f>
        <v>1.902082111939805E-7</v>
      </c>
      <c r="AB92" s="5">
        <f>$H$66*EXP($I$66*$R92)</f>
        <v>1.5219421992542145E-7</v>
      </c>
      <c r="AC92" s="5">
        <f>$H$67*EXP($I$67*$R92)</f>
        <v>1.1146027309473548E-7</v>
      </c>
      <c r="AD92" s="5">
        <f>$H$68*EXP($I$68*$R92)</f>
        <v>6.6046088623362382E-7</v>
      </c>
      <c r="AE92" s="5">
        <f>$H$69*EXP($I$69*$R92)</f>
        <v>1.044862497836442E-6</v>
      </c>
      <c r="AF92" s="5">
        <f>$H$70*EXP($I$70*$R92)</f>
        <v>5.8074698893366476E-6</v>
      </c>
      <c r="AG92" s="5">
        <f>$H$71*EXP($I$71*$R92)</f>
        <v>4.3814601961793807E-6</v>
      </c>
      <c r="AH92" s="5">
        <f ca="1">$H$72*EXP($I$72*$R92)</f>
        <v>8.8278147421636487E-4</v>
      </c>
      <c r="AI92" s="5">
        <f ca="1">$H$73*EXP($I$73*$R92)</f>
        <v>7.1226092289342275E-4</v>
      </c>
      <c r="AJ92" s="5">
        <f ca="1">$H$74*EXP($I$74*$R92)</f>
        <v>1.3295459452393832E-3</v>
      </c>
      <c r="AK92" s="6">
        <f ca="1">$H$75*EXP($I$75*$R92)</f>
        <v>7.8914614431280607E-4</v>
      </c>
    </row>
    <row r="93" spans="18:37" x14ac:dyDescent="0.2">
      <c r="R93" s="4">
        <v>64</v>
      </c>
      <c r="S93" s="5">
        <f>$H$57*EXP($I$57*R93)</f>
        <v>4.8356752945991738E-6</v>
      </c>
      <c r="T93" s="5">
        <f>$H$58*EXP($I$58*$R93)</f>
        <v>8.2649369204234035E-7</v>
      </c>
      <c r="U93" s="5">
        <f>$H$59*EXP($I$59*$R93)</f>
        <v>1.6214100926346045E-6</v>
      </c>
      <c r="V93" s="5">
        <f>$H$60*EXP($I$60*$R93)</f>
        <v>9.8734529609206363E-10</v>
      </c>
      <c r="W93" s="5">
        <f>$H$61*EXP($I$61*$R93)</f>
        <v>6.6442610425350927E-11</v>
      </c>
      <c r="X93" s="5">
        <f>$H$62*EXP($I$62*$R93)</f>
        <v>1.1038061345634476E-10</v>
      </c>
      <c r="Y93" s="5">
        <f>$H$63*EXP($I$63*$R93)</f>
        <v>6.4029103754583096E-10</v>
      </c>
      <c r="Z93" s="5">
        <f>$H$64*EXP($I$64*$R93)</f>
        <v>7.575553967465388E-9</v>
      </c>
      <c r="AA93" s="5">
        <f>$H$65*EXP($I$65*$R93)</f>
        <v>1.3807463549431249E-7</v>
      </c>
      <c r="AB93" s="5">
        <f>$H$66*EXP($I$66*$R93)</f>
        <v>1.1006306379523369E-7</v>
      </c>
      <c r="AC93" s="5">
        <f>$H$67*EXP($I$67*$R93)</f>
        <v>8.0178451767313766E-8</v>
      </c>
      <c r="AD93" s="5">
        <f>$H$68*EXP($I$68*$R93)</f>
        <v>4.8981424865382915E-7</v>
      </c>
      <c r="AE93" s="5">
        <f>$H$69*EXP($I$69*$R93)</f>
        <v>7.8104875364200264E-7</v>
      </c>
      <c r="AF93" s="5">
        <f>$H$70*EXP($I$70*$R93)</f>
        <v>4.4722265159459451E-6</v>
      </c>
      <c r="AG93" s="5">
        <f>$H$71*EXP($I$71*$R93)</f>
        <v>3.3575413417135448E-6</v>
      </c>
      <c r="AH93" s="5">
        <f ca="1">$H$72*EXP($I$72*$R93)</f>
        <v>7.3996319237952762E-4</v>
      </c>
      <c r="AI93" s="5">
        <f ca="1">$H$73*EXP($I$73*$R93)</f>
        <v>5.947727603174E-4</v>
      </c>
      <c r="AJ93" s="5">
        <f ca="1">$H$74*EXP($I$74*$R93)</f>
        <v>1.1226053126708081E-3</v>
      </c>
      <c r="AK93" s="6">
        <f ca="1">$H$75*EXP($I$75*$R93)</f>
        <v>6.6013949942987074E-4</v>
      </c>
    </row>
    <row r="94" spans="18:37" x14ac:dyDescent="0.2">
      <c r="R94" s="4">
        <v>65</v>
      </c>
      <c r="S94" s="5">
        <f>$H$57*EXP($I$57*R94)</f>
        <v>3.7073510591927045E-6</v>
      </c>
      <c r="T94" s="5">
        <f>$H$58*EXP($I$58*$R94)</f>
        <v>6.1603202612715016E-7</v>
      </c>
      <c r="U94" s="5">
        <f>$H$59*EXP($I$59*$R94)</f>
        <v>1.2216634834308296E-6</v>
      </c>
      <c r="V94" s="5">
        <f>$H$60*EXP($I$60*$R94)</f>
        <v>6.6018569192649279E-10</v>
      </c>
      <c r="W94" s="5">
        <f>$H$61*EXP($I$61*$R94)</f>
        <v>4.2524377505332623E-11</v>
      </c>
      <c r="X94" s="5">
        <f>$H$62*EXP($I$62*$R94)</f>
        <v>7.123252047427825E-11</v>
      </c>
      <c r="Y94" s="5">
        <f>$H$63*EXP($I$63*$R94)</f>
        <v>4.2528402772489832E-10</v>
      </c>
      <c r="Z94" s="5">
        <f>$H$64*EXP($I$64*$R94)</f>
        <v>5.2408709823922751E-9</v>
      </c>
      <c r="AA94" s="5">
        <f>$H$65*EXP($I$65*$R94)</f>
        <v>1.0023018905027481E-7</v>
      </c>
      <c r="AB94" s="5">
        <f>$H$66*EXP($I$66*$R94)</f>
        <v>7.9594862524541003E-8</v>
      </c>
      <c r="AC94" s="5">
        <f>$H$67*EXP($I$67*$R94)</f>
        <v>5.7676012711179117E-8</v>
      </c>
      <c r="AD94" s="5">
        <f>$H$68*EXP($I$68*$R94)</f>
        <v>3.6325845055334495E-7</v>
      </c>
      <c r="AE94" s="5">
        <f>$H$69*EXP($I$69*$R94)</f>
        <v>5.8384443582663466E-7</v>
      </c>
      <c r="AF94" s="5">
        <f>$H$70*EXP($I$70*$R94)</f>
        <v>3.443979975971013E-6</v>
      </c>
      <c r="AG94" s="5">
        <f>$H$71*EXP($I$71*$R94)</f>
        <v>2.5729056881871679E-6</v>
      </c>
      <c r="AH94" s="5">
        <f ca="1">$H$72*EXP($I$72*$R94)</f>
        <v>6.2025035874540961E-4</v>
      </c>
      <c r="AI94" s="5">
        <f ca="1">$H$73*EXP($I$73*$R94)</f>
        <v>4.9666438947474365E-4</v>
      </c>
      <c r="AJ94" s="5">
        <f ca="1">$H$74*EXP($I$74*$R94)</f>
        <v>9.4787449245299887E-4</v>
      </c>
      <c r="AK94" s="6">
        <f ca="1">$H$75*EXP($I$75*$R94)</f>
        <v>5.5222237585283301E-4</v>
      </c>
    </row>
    <row r="95" spans="18:37" x14ac:dyDescent="0.2">
      <c r="R95" s="4">
        <v>66</v>
      </c>
      <c r="S95" s="5">
        <f>$H$57*EXP($I$57*R95)</f>
        <v>2.8423024787144001E-6</v>
      </c>
      <c r="T95" s="5">
        <f>$H$58*EXP($I$58*$R95)</f>
        <v>4.5916316224574488E-7</v>
      </c>
      <c r="U95" s="5">
        <f>$H$59*EXP($I$59*$R95)</f>
        <v>9.2047143010148379E-7</v>
      </c>
      <c r="V95" s="5">
        <f>$H$60*EXP($I$60*$R95)</f>
        <v>4.4143133060900539E-10</v>
      </c>
      <c r="W95" s="5">
        <f>$H$61*EXP($I$61*$R95)</f>
        <v>2.7216309995040186E-11</v>
      </c>
      <c r="X95" s="5">
        <f>$H$62*EXP($I$62*$R95)</f>
        <v>4.5968869117811635E-11</v>
      </c>
      <c r="Y95" s="5">
        <f>$H$63*EXP($I$63*$R95)</f>
        <v>2.824754582402942E-10</v>
      </c>
      <c r="Z95" s="5">
        <f>$H$64*EXP($I$64*$R95)</f>
        <v>3.6257056278712028E-9</v>
      </c>
      <c r="AA95" s="5">
        <f>$H$65*EXP($I$65*$R95)</f>
        <v>7.2758408965472922E-8</v>
      </c>
      <c r="AB95" s="5">
        <f>$H$66*EXP($I$66*$R95)</f>
        <v>5.7561019308776833E-8</v>
      </c>
      <c r="AC95" s="5">
        <f>$H$67*EXP($I$67*$R95)</f>
        <v>4.1488983248441996E-8</v>
      </c>
      <c r="AD95" s="5">
        <f>$H$68*EXP($I$68*$R95)</f>
        <v>2.6940151753665182E-7</v>
      </c>
      <c r="AE95" s="5">
        <f>$H$69*EXP($I$69*$R95)</f>
        <v>4.3643155904959223E-7</v>
      </c>
      <c r="AF95" s="5">
        <f>$H$70*EXP($I$70*$R95)</f>
        <v>2.652146091571696E-6</v>
      </c>
      <c r="AG95" s="5">
        <f>$H$71*EXP($I$71*$R95)</f>
        <v>1.9716343021788074E-6</v>
      </c>
      <c r="AH95" s="5">
        <f ca="1">$H$72*EXP($I$72*$R95)</f>
        <v>5.1990492430668226E-4</v>
      </c>
      <c r="AI95" s="5">
        <f ca="1">$H$73*EXP($I$73*$R95)</f>
        <v>4.1473909403766515E-4</v>
      </c>
      <c r="AJ95" s="5">
        <f ca="1">$H$74*EXP($I$74*$R95)</f>
        <v>8.0034010466730604E-4</v>
      </c>
      <c r="AK95" s="6">
        <f ca="1">$H$75*EXP($I$75*$R95)</f>
        <v>4.6194713792450996E-4</v>
      </c>
    </row>
    <row r="96" spans="18:37" x14ac:dyDescent="0.2">
      <c r="R96" s="4">
        <v>67</v>
      </c>
      <c r="S96" s="5">
        <f>$H$57*EXP($I$57*R96)</f>
        <v>2.1790985670143763E-6</v>
      </c>
      <c r="T96" s="5">
        <f>$H$58*EXP($I$58*$R96)</f>
        <v>3.4224001451508356E-7</v>
      </c>
      <c r="U96" s="5">
        <f>$H$59*EXP($I$59*$R96)</f>
        <v>6.9353603928118083E-7</v>
      </c>
      <c r="V96" s="5">
        <f>$H$60*EXP($I$60*$R96)</f>
        <v>2.9516183405097827E-10</v>
      </c>
      <c r="W96" s="5">
        <f>$H$61*EXP($I$61*$R96)</f>
        <v>1.7418891779267862E-11</v>
      </c>
      <c r="X96" s="5">
        <f>$H$62*EXP($I$62*$R96)</f>
        <v>2.9665339846194842E-11</v>
      </c>
      <c r="Y96" s="5">
        <f>$H$63*EXP($I$63*$R96)</f>
        <v>1.8762139959716328E-10</v>
      </c>
      <c r="Z96" s="5">
        <f>$H$64*EXP($I$64*$R96)</f>
        <v>2.5083123290274902E-9</v>
      </c>
      <c r="AA96" s="5">
        <f>$H$65*EXP($I$65*$R96)</f>
        <v>5.2816283450604894E-8</v>
      </c>
      <c r="AB96" s="5">
        <f>$H$66*EXP($I$66*$R96)</f>
        <v>4.1626693467104343E-8</v>
      </c>
      <c r="AC96" s="5">
        <f>$H$67*EXP($I$67*$R96)</f>
        <v>2.9844915590981216E-8</v>
      </c>
      <c r="AD96" s="5">
        <f>$H$68*EXP($I$68*$R96)</f>
        <v>1.9979487756030361E-7</v>
      </c>
      <c r="AE96" s="5">
        <f>$H$69*EXP($I$69*$R96)</f>
        <v>3.262384533386507E-7</v>
      </c>
      <c r="AF96" s="5">
        <f>$H$70*EXP($I$70*$R96)</f>
        <v>2.0423692762777549E-6</v>
      </c>
      <c r="AG96" s="5">
        <f>$H$71*EXP($I$71*$R96)</f>
        <v>1.5108761426335367E-6</v>
      </c>
      <c r="AH96" s="5">
        <f ca="1">$H$72*EXP($I$72*$R96)</f>
        <v>4.3579358964834693E-4</v>
      </c>
      <c r="AI96" s="5">
        <f ca="1">$H$73*EXP($I$73*$R96)</f>
        <v>3.4632745928310716E-4</v>
      </c>
      <c r="AJ96" s="5">
        <f ca="1">$H$74*EXP($I$74*$R96)</f>
        <v>6.7576908993638473E-4</v>
      </c>
      <c r="AK96" s="6">
        <f ca="1">$H$75*EXP($I$75*$R96)</f>
        <v>3.8642975650359375E-4</v>
      </c>
    </row>
    <row r="97" spans="18:37" x14ac:dyDescent="0.2">
      <c r="R97" s="4">
        <v>68</v>
      </c>
      <c r="S97" s="5">
        <f>$H$57*EXP($I$57*R97)</f>
        <v>1.6706422347110238E-6</v>
      </c>
      <c r="T97" s="5">
        <f>$H$58*EXP($I$58*$R97)</f>
        <v>2.550906456920806E-7</v>
      </c>
      <c r="U97" s="5">
        <f>$H$59*EXP($I$59*$R97)</f>
        <v>5.2254988264958668E-7</v>
      </c>
      <c r="V97" s="5">
        <f>$H$60*EXP($I$60*$R97)</f>
        <v>1.9735914113786197E-10</v>
      </c>
      <c r="W97" s="5">
        <f>$H$61*EXP($I$61*$R97)</f>
        <v>1.1148380911047106E-11</v>
      </c>
      <c r="X97" s="5">
        <f>$H$62*EXP($I$62*$R97)</f>
        <v>1.9144094798913614E-11</v>
      </c>
      <c r="Y97" s="5">
        <f>$H$63*EXP($I$63*$R97)</f>
        <v>1.2461893081293178E-10</v>
      </c>
      <c r="Z97" s="5">
        <f>$H$64*EXP($I$64*$R97)</f>
        <v>1.7352844896140561E-9</v>
      </c>
      <c r="AA97" s="5">
        <f>$H$65*EXP($I$65*$R97)</f>
        <v>3.8340032955619059E-8</v>
      </c>
      <c r="AB97" s="5">
        <f>$H$66*EXP($I$66*$R97)</f>
        <v>3.0103386455146655E-8</v>
      </c>
      <c r="AC97" s="5">
        <f>$H$67*EXP($I$67*$R97)</f>
        <v>2.1468807304798086E-8</v>
      </c>
      <c r="AD97" s="5">
        <f>$H$68*EXP($I$68*$R97)</f>
        <v>1.4817285910019333E-7</v>
      </c>
      <c r="AE97" s="5">
        <f>$H$69*EXP($I$69*$R97)</f>
        <v>2.4386762650384007E-7</v>
      </c>
      <c r="AF97" s="5">
        <f>$H$70*EXP($I$70*$R97)</f>
        <v>1.5727912854949049E-6</v>
      </c>
      <c r="AG97" s="5">
        <f>$H$71*EXP($I$71*$R97)</f>
        <v>1.1577941791013601E-6</v>
      </c>
      <c r="AH97" s="5">
        <f ca="1">$H$72*EXP($I$72*$R97)</f>
        <v>3.6528996726056053E-4</v>
      </c>
      <c r="AI97" s="5">
        <f ca="1">$H$73*EXP($I$73*$R97)</f>
        <v>2.8920039315753358E-4</v>
      </c>
      <c r="AJ97" s="5">
        <f ca="1">$H$74*EXP($I$74*$R97)</f>
        <v>5.7058725440640079E-4</v>
      </c>
      <c r="AK97" s="6">
        <f ca="1">$H$75*EXP($I$75*$R97)</f>
        <v>3.2325767269030995E-4</v>
      </c>
    </row>
    <row r="98" spans="18:37" x14ac:dyDescent="0.2">
      <c r="R98" s="4">
        <v>69</v>
      </c>
      <c r="S98" s="5">
        <f>$H$57*EXP($I$57*R98)</f>
        <v>1.2808257132784531E-6</v>
      </c>
      <c r="T98" s="5">
        <f>$H$58*EXP($I$58*$R98)</f>
        <v>1.9013334139726871E-7</v>
      </c>
      <c r="U98" s="5">
        <f>$H$59*EXP($I$59*$R98)</f>
        <v>3.937190922913113E-7</v>
      </c>
      <c r="V98" s="5">
        <f>$H$60*EXP($I$60*$R98)</f>
        <v>1.3196364196580797E-10</v>
      </c>
      <c r="W98" s="5">
        <f>$H$61*EXP($I$61*$R98)</f>
        <v>7.1351494981860095E-12</v>
      </c>
      <c r="X98" s="5">
        <f>$H$62*EXP($I$62*$R98)</f>
        <v>1.2354362618798731E-11</v>
      </c>
      <c r="Y98" s="5">
        <f>$H$63*EXP($I$63*$R98)</f>
        <v>8.2772423349905954E-11</v>
      </c>
      <c r="Z98" s="5">
        <f>$H$64*EXP($I$64*$R98)</f>
        <v>1.2004933456841943E-9</v>
      </c>
      <c r="AA98" s="5">
        <f>$H$65*EXP($I$65*$R98)</f>
        <v>2.7831532834238449E-8</v>
      </c>
      <c r="AB98" s="5">
        <f>$H$66*EXP($I$66*$R98)</f>
        <v>2.17700182404361E-8</v>
      </c>
      <c r="AC98" s="5">
        <f>$H$67*EXP($I$67*$R98)</f>
        <v>1.5443491059154861E-8</v>
      </c>
      <c r="AD98" s="5">
        <f>$H$68*EXP($I$68*$R98)</f>
        <v>1.0988868404446026E-7</v>
      </c>
      <c r="AE98" s="5">
        <f>$H$69*EXP($I$69*$R98)</f>
        <v>1.8229432688881271E-7</v>
      </c>
      <c r="AF98" s="5">
        <f>$H$70*EXP($I$70*$R98)</f>
        <v>1.2111778494029282E-6</v>
      </c>
      <c r="AG98" s="5">
        <f>$H$71*EXP($I$71*$R98)</f>
        <v>8.8722518235310287E-7</v>
      </c>
      <c r="AH98" s="5">
        <f ca="1">$H$72*EXP($I$72*$R98)</f>
        <v>3.0619257224250289E-4</v>
      </c>
      <c r="AI98" s="5">
        <f ca="1">$H$73*EXP($I$73*$R98)</f>
        <v>2.4149649460542086E-4</v>
      </c>
      <c r="AJ98" s="5">
        <f ca="1">$H$74*EXP($I$74*$R98)</f>
        <v>4.8177671891101612E-4</v>
      </c>
      <c r="AK98" s="6">
        <f ca="1">$H$75*EXP($I$75*$R98)</f>
        <v>2.7041272364382166E-4</v>
      </c>
    </row>
    <row r="99" spans="18:37" x14ac:dyDescent="0.2">
      <c r="R99" s="7">
        <v>70</v>
      </c>
      <c r="S99" s="8">
        <f>$H$57*EXP($I$57*R99)</f>
        <v>9.8196638018014516E-7</v>
      </c>
      <c r="T99" s="8">
        <f>$H$58*EXP($I$58*$R99)</f>
        <v>1.4171702538448928E-7</v>
      </c>
      <c r="U99" s="8">
        <f>$H$59*EXP($I$59*$R99)</f>
        <v>2.9665057591955074E-7</v>
      </c>
      <c r="V99" s="8">
        <f>$H$60*EXP($I$60*$R99)</f>
        <v>8.8237122944892695E-11</v>
      </c>
      <c r="W99" s="8">
        <f>$H$61*EXP($I$61*$R99)</f>
        <v>4.5666145396069303E-12</v>
      </c>
      <c r="X99" s="8">
        <f>$H$62*EXP($I$62*$R99)</f>
        <v>7.9727078934770446E-12</v>
      </c>
      <c r="Y99" s="8">
        <f>$H$63*EXP($I$63*$R99)</f>
        <v>5.497779528778561E-11</v>
      </c>
      <c r="Z99" s="8">
        <f>$H$64*EXP($I$64*$R99)</f>
        <v>8.3051757890866868E-10</v>
      </c>
      <c r="AA99" s="8">
        <f>$H$65*EXP($I$65*$R99)</f>
        <v>2.0203274754613037E-8</v>
      </c>
      <c r="AB99" s="8">
        <f>$H$66*EXP($I$66*$R99)</f>
        <v>1.5743534199883866E-8</v>
      </c>
      <c r="AC99" s="8">
        <f>$H$67*EXP($I$67*$R99)</f>
        <v>1.1109206613489574E-8</v>
      </c>
      <c r="AD99" s="8">
        <f>$H$68*EXP($I$68*$R99)</f>
        <v>8.1496185970588558E-8</v>
      </c>
      <c r="AE99" s="8">
        <f>$H$69*EXP($I$69*$R99)</f>
        <v>1.3626745826109849E-7</v>
      </c>
      <c r="AF99" s="8">
        <f>$H$70*EXP($I$70*$R99)</f>
        <v>9.3270594541901158E-7</v>
      </c>
      <c r="AG99" s="8">
        <f>$H$71*EXP($I$71*$R99)</f>
        <v>6.798864067640006E-7</v>
      </c>
      <c r="AH99" s="8">
        <f ca="1">$H$72*EXP($I$72*$R99)</f>
        <v>2.5665608064621694E-4</v>
      </c>
      <c r="AI99" s="8">
        <f>$S100*EXP($T100*$R99)</f>
        <v>0</v>
      </c>
      <c r="AJ99" s="8">
        <f ca="1">$H$74*EXP($I$74*$R99)</f>
        <v>4.0678932992664483E-4</v>
      </c>
      <c r="AK99" s="9">
        <f ca="1">$H$75*EXP($I$75*$R99)</f>
        <v>2.2620666819724283E-4</v>
      </c>
    </row>
  </sheetData>
  <mergeCells count="2">
    <mergeCell ref="W1:X1"/>
    <mergeCell ref="AB3:AF3"/>
  </mergeCells>
  <conditionalFormatting sqref="F5:F24 P5:P24 U5:U24 K5:K24">
    <cfRule type="cellIs" dxfId="1" priority="1" operator="equal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EE52-9EE0-C145-9F6D-432E7340E00D}">
  <dimension ref="A1:K47"/>
  <sheetViews>
    <sheetView workbookViewId="0">
      <selection activeCell="I27" sqref="I27:K47"/>
    </sheetView>
  </sheetViews>
  <sheetFormatPr baseColWidth="10" defaultRowHeight="15" x14ac:dyDescent="0.2"/>
  <cols>
    <col min="2" max="3" width="11.83203125" customWidth="1"/>
    <col min="4" max="4" width="11.33203125" customWidth="1"/>
  </cols>
  <sheetData>
    <row r="1" spans="1:11" x14ac:dyDescent="0.2">
      <c r="B1" s="54" t="s">
        <v>33</v>
      </c>
      <c r="C1" s="55"/>
      <c r="D1" s="55"/>
      <c r="E1" s="56"/>
      <c r="F1" s="57" t="s">
        <v>34</v>
      </c>
      <c r="G1" s="57"/>
      <c r="H1" s="57"/>
      <c r="I1" s="57"/>
    </row>
    <row r="2" spans="1:11" x14ac:dyDescent="0.2">
      <c r="A2" s="3" t="s">
        <v>39</v>
      </c>
      <c r="B2" s="10" t="s">
        <v>35</v>
      </c>
      <c r="C2" s="11" t="s">
        <v>36</v>
      </c>
      <c r="D2" s="11" t="s">
        <v>37</v>
      </c>
      <c r="E2" s="12" t="s">
        <v>38</v>
      </c>
      <c r="F2" s="16" t="s">
        <v>40</v>
      </c>
      <c r="G2" s="17" t="s">
        <v>41</v>
      </c>
    </row>
    <row r="3" spans="1:11" x14ac:dyDescent="0.2">
      <c r="B3" s="7">
        <v>1</v>
      </c>
      <c r="C3" s="8">
        <v>1</v>
      </c>
      <c r="D3" s="8">
        <v>1</v>
      </c>
      <c r="E3" s="9">
        <v>1</v>
      </c>
      <c r="F3">
        <v>5</v>
      </c>
      <c r="G3">
        <v>5</v>
      </c>
      <c r="H3">
        <v>2</v>
      </c>
      <c r="I3">
        <v>2</v>
      </c>
    </row>
    <row r="4" spans="1:11" x14ac:dyDescent="0.2">
      <c r="A4" s="14">
        <v>1</v>
      </c>
      <c r="B4" s="4">
        <v>10</v>
      </c>
      <c r="C4" s="5">
        <v>5</v>
      </c>
      <c r="D4" s="5">
        <v>8</v>
      </c>
      <c r="E4" s="6">
        <v>25</v>
      </c>
      <c r="F4" s="4">
        <v>2</v>
      </c>
      <c r="G4" s="6">
        <v>1</v>
      </c>
      <c r="H4">
        <v>2</v>
      </c>
      <c r="I4">
        <v>5</v>
      </c>
      <c r="J4">
        <v>4</v>
      </c>
      <c r="K4">
        <v>3</v>
      </c>
    </row>
    <row r="5" spans="1:11" x14ac:dyDescent="0.2">
      <c r="A5" s="14">
        <v>2</v>
      </c>
      <c r="B5" s="4">
        <v>7</v>
      </c>
      <c r="C5" s="5">
        <v>10</v>
      </c>
      <c r="D5" s="5">
        <v>6</v>
      </c>
      <c r="E5" s="6">
        <v>19</v>
      </c>
      <c r="F5" s="4">
        <v>2</v>
      </c>
      <c r="G5" s="6">
        <v>1</v>
      </c>
      <c r="H5">
        <v>3</v>
      </c>
      <c r="I5">
        <v>4</v>
      </c>
      <c r="J5">
        <v>3</v>
      </c>
      <c r="K5">
        <v>4</v>
      </c>
    </row>
    <row r="6" spans="1:11" x14ac:dyDescent="0.2">
      <c r="A6" s="14">
        <v>3</v>
      </c>
      <c r="B6" s="4">
        <v>6</v>
      </c>
      <c r="C6" s="5">
        <v>5</v>
      </c>
      <c r="D6" s="5">
        <v>5</v>
      </c>
      <c r="E6" s="6">
        <v>16</v>
      </c>
      <c r="F6" s="4">
        <v>2</v>
      </c>
      <c r="G6" s="6">
        <v>1</v>
      </c>
      <c r="H6">
        <v>3</v>
      </c>
      <c r="I6">
        <v>4</v>
      </c>
      <c r="J6">
        <v>7</v>
      </c>
      <c r="K6">
        <v>0</v>
      </c>
    </row>
    <row r="7" spans="1:11" x14ac:dyDescent="0.2">
      <c r="A7" s="14">
        <v>4</v>
      </c>
      <c r="B7" s="4">
        <v>7</v>
      </c>
      <c r="C7" s="5">
        <v>4</v>
      </c>
      <c r="D7" s="5">
        <v>8</v>
      </c>
      <c r="E7" s="6">
        <v>8</v>
      </c>
      <c r="F7" s="4">
        <v>2</v>
      </c>
      <c r="G7" s="6">
        <v>1</v>
      </c>
      <c r="H7">
        <v>7</v>
      </c>
      <c r="I7">
        <v>1</v>
      </c>
      <c r="J7">
        <v>4</v>
      </c>
      <c r="K7">
        <v>1</v>
      </c>
    </row>
    <row r="8" spans="1:11" x14ac:dyDescent="0.2">
      <c r="A8" s="14">
        <v>5</v>
      </c>
      <c r="B8" s="4">
        <v>2</v>
      </c>
      <c r="C8" s="5">
        <v>5</v>
      </c>
      <c r="D8" s="5">
        <v>2</v>
      </c>
      <c r="E8" s="6">
        <v>14</v>
      </c>
      <c r="F8" s="4">
        <v>2</v>
      </c>
      <c r="G8" s="6">
        <v>1</v>
      </c>
      <c r="H8">
        <v>3</v>
      </c>
      <c r="I8">
        <v>5</v>
      </c>
      <c r="J8">
        <v>4</v>
      </c>
      <c r="K8">
        <v>1</v>
      </c>
    </row>
    <row r="9" spans="1:11" x14ac:dyDescent="0.2">
      <c r="A9" s="14">
        <v>6</v>
      </c>
      <c r="B9" s="4">
        <v>3</v>
      </c>
      <c r="C9" s="5">
        <v>3</v>
      </c>
      <c r="D9" s="5">
        <v>1</v>
      </c>
      <c r="E9" s="6">
        <v>16</v>
      </c>
      <c r="F9" s="4">
        <v>2</v>
      </c>
      <c r="G9" s="6">
        <v>1</v>
      </c>
      <c r="H9">
        <v>1</v>
      </c>
      <c r="I9">
        <v>6</v>
      </c>
      <c r="J9">
        <v>5</v>
      </c>
      <c r="K9">
        <v>2</v>
      </c>
    </row>
    <row r="10" spans="1:11" x14ac:dyDescent="0.2">
      <c r="A10" s="14">
        <v>7</v>
      </c>
      <c r="B10" s="4">
        <v>1</v>
      </c>
      <c r="C10" s="5">
        <v>2</v>
      </c>
      <c r="D10" s="5">
        <v>1</v>
      </c>
      <c r="E10" s="6">
        <v>15</v>
      </c>
      <c r="F10" s="4">
        <v>2</v>
      </c>
      <c r="G10" s="6">
        <v>1</v>
      </c>
      <c r="H10">
        <v>4</v>
      </c>
      <c r="I10">
        <v>3</v>
      </c>
      <c r="J10">
        <v>4</v>
      </c>
      <c r="K10">
        <v>3</v>
      </c>
    </row>
    <row r="11" spans="1:11" x14ac:dyDescent="0.2">
      <c r="A11" s="14">
        <v>8</v>
      </c>
      <c r="B11" s="4">
        <v>3</v>
      </c>
      <c r="C11" s="5">
        <v>1</v>
      </c>
      <c r="D11" s="5">
        <v>3</v>
      </c>
      <c r="E11" s="6">
        <v>9</v>
      </c>
      <c r="F11" s="4">
        <v>2</v>
      </c>
      <c r="G11" s="6">
        <v>1</v>
      </c>
      <c r="H11">
        <v>6</v>
      </c>
      <c r="I11">
        <v>2</v>
      </c>
      <c r="J11">
        <v>3</v>
      </c>
      <c r="K11">
        <v>2</v>
      </c>
    </row>
    <row r="12" spans="1:11" x14ac:dyDescent="0.2">
      <c r="A12" s="14">
        <v>9</v>
      </c>
      <c r="B12" s="4">
        <v>1</v>
      </c>
      <c r="C12" s="5">
        <v>4</v>
      </c>
      <c r="D12" s="5">
        <v>1</v>
      </c>
      <c r="E12" s="6">
        <v>7</v>
      </c>
      <c r="F12" s="4">
        <v>2</v>
      </c>
      <c r="G12" s="6">
        <v>1</v>
      </c>
      <c r="H12">
        <v>5</v>
      </c>
      <c r="I12">
        <v>3</v>
      </c>
      <c r="J12">
        <v>1</v>
      </c>
      <c r="K12">
        <v>4</v>
      </c>
    </row>
    <row r="13" spans="1:11" x14ac:dyDescent="0.2">
      <c r="A13" s="14">
        <v>10</v>
      </c>
      <c r="B13" s="4">
        <v>0</v>
      </c>
      <c r="C13" s="5">
        <v>2</v>
      </c>
      <c r="D13" s="5">
        <v>3</v>
      </c>
      <c r="E13" s="6">
        <v>5</v>
      </c>
      <c r="F13" s="4">
        <v>2</v>
      </c>
      <c r="G13" s="6">
        <v>1</v>
      </c>
      <c r="H13">
        <v>1</v>
      </c>
      <c r="I13">
        <v>6</v>
      </c>
      <c r="J13">
        <v>3</v>
      </c>
      <c r="K13">
        <v>4</v>
      </c>
    </row>
    <row r="14" spans="1:11" x14ac:dyDescent="0.2">
      <c r="A14" s="14">
        <v>11</v>
      </c>
      <c r="B14" s="4">
        <v>1</v>
      </c>
      <c r="C14" s="5">
        <v>1</v>
      </c>
      <c r="D14" s="5">
        <v>1</v>
      </c>
      <c r="E14" s="6">
        <v>5</v>
      </c>
      <c r="F14" s="4">
        <v>2</v>
      </c>
      <c r="G14" s="6">
        <v>1</v>
      </c>
      <c r="H14">
        <v>4</v>
      </c>
      <c r="I14">
        <v>3</v>
      </c>
      <c r="J14">
        <v>1</v>
      </c>
      <c r="K14">
        <v>6</v>
      </c>
    </row>
    <row r="15" spans="1:11" x14ac:dyDescent="0.2">
      <c r="A15" s="14">
        <v>12</v>
      </c>
      <c r="B15" s="4">
        <v>2</v>
      </c>
      <c r="C15" s="5">
        <v>0</v>
      </c>
      <c r="D15" s="5">
        <v>3</v>
      </c>
      <c r="E15" s="6">
        <v>2</v>
      </c>
      <c r="F15" s="4">
        <v>2</v>
      </c>
      <c r="G15" s="6">
        <v>1</v>
      </c>
      <c r="H15">
        <v>4</v>
      </c>
      <c r="I15">
        <v>0</v>
      </c>
      <c r="J15">
        <v>3</v>
      </c>
      <c r="K15">
        <v>12</v>
      </c>
    </row>
    <row r="16" spans="1:11" x14ac:dyDescent="0.2">
      <c r="A16" s="14">
        <v>13</v>
      </c>
      <c r="B16" s="4">
        <v>2</v>
      </c>
      <c r="C16" s="5">
        <v>1</v>
      </c>
      <c r="D16" s="5">
        <v>2</v>
      </c>
      <c r="E16" s="6">
        <v>2</v>
      </c>
      <c r="F16" s="4">
        <v>2</v>
      </c>
      <c r="G16" s="6">
        <v>1</v>
      </c>
      <c r="H16">
        <v>2</v>
      </c>
      <c r="I16">
        <v>1</v>
      </c>
      <c r="J16">
        <v>2</v>
      </c>
      <c r="K16">
        <v>15</v>
      </c>
    </row>
    <row r="17" spans="1:11" x14ac:dyDescent="0.2">
      <c r="A17" s="14">
        <v>14</v>
      </c>
      <c r="B17" s="4">
        <v>2</v>
      </c>
      <c r="C17" s="5">
        <v>1</v>
      </c>
      <c r="D17" s="5">
        <v>3</v>
      </c>
      <c r="E17" s="6">
        <v>2</v>
      </c>
      <c r="F17" s="4">
        <v>2</v>
      </c>
      <c r="G17" s="6">
        <v>1</v>
      </c>
      <c r="H17">
        <v>2</v>
      </c>
      <c r="I17">
        <v>1</v>
      </c>
      <c r="J17">
        <v>3</v>
      </c>
      <c r="K17">
        <v>14</v>
      </c>
    </row>
    <row r="18" spans="1:11" x14ac:dyDescent="0.2">
      <c r="A18" s="14">
        <v>15</v>
      </c>
      <c r="B18" s="4">
        <v>1</v>
      </c>
      <c r="C18" s="5">
        <v>1</v>
      </c>
      <c r="D18" s="5">
        <v>0</v>
      </c>
      <c r="E18" s="6">
        <v>1</v>
      </c>
      <c r="F18" s="4">
        <v>2</v>
      </c>
      <c r="G18" s="6">
        <v>1</v>
      </c>
      <c r="H18">
        <v>1</v>
      </c>
      <c r="I18">
        <v>1</v>
      </c>
      <c r="J18">
        <v>0</v>
      </c>
      <c r="K18">
        <v>20</v>
      </c>
    </row>
    <row r="19" spans="1:11" x14ac:dyDescent="0.2">
      <c r="A19" s="14">
        <v>16</v>
      </c>
      <c r="B19" s="4">
        <v>0</v>
      </c>
      <c r="C19" s="5">
        <v>0</v>
      </c>
      <c r="D19" s="5">
        <v>1</v>
      </c>
      <c r="E19" s="6">
        <v>1</v>
      </c>
      <c r="F19" s="4">
        <v>2</v>
      </c>
      <c r="G19" s="6">
        <v>1</v>
      </c>
      <c r="H19">
        <v>0</v>
      </c>
      <c r="I19">
        <v>0</v>
      </c>
      <c r="J19">
        <v>1</v>
      </c>
      <c r="K19">
        <v>24</v>
      </c>
    </row>
    <row r="20" spans="1:11" x14ac:dyDescent="0.2">
      <c r="A20" s="14">
        <v>17</v>
      </c>
      <c r="B20" s="4">
        <v>2</v>
      </c>
      <c r="C20" s="5">
        <v>2</v>
      </c>
      <c r="D20" s="5">
        <v>0</v>
      </c>
      <c r="E20" s="6">
        <v>0</v>
      </c>
      <c r="F20" s="4">
        <v>2</v>
      </c>
      <c r="G20" s="6">
        <v>1</v>
      </c>
      <c r="H20">
        <v>2</v>
      </c>
      <c r="I20">
        <v>2</v>
      </c>
      <c r="J20">
        <v>0</v>
      </c>
      <c r="K20">
        <v>15</v>
      </c>
    </row>
    <row r="21" spans="1:11" x14ac:dyDescent="0.2">
      <c r="A21" s="14">
        <v>18</v>
      </c>
      <c r="B21" s="4">
        <v>0</v>
      </c>
      <c r="C21" s="5">
        <v>1</v>
      </c>
      <c r="D21" s="5">
        <v>0</v>
      </c>
      <c r="E21" s="6">
        <v>1</v>
      </c>
      <c r="F21" s="4">
        <v>2</v>
      </c>
      <c r="G21" s="6">
        <v>1</v>
      </c>
      <c r="H21">
        <v>0</v>
      </c>
      <c r="I21">
        <v>1</v>
      </c>
      <c r="J21">
        <v>0</v>
      </c>
      <c r="K21">
        <v>18</v>
      </c>
    </row>
    <row r="22" spans="1:11" x14ac:dyDescent="0.2">
      <c r="A22" s="14">
        <v>19</v>
      </c>
      <c r="B22" s="4">
        <v>1</v>
      </c>
      <c r="C22" s="5">
        <v>2</v>
      </c>
      <c r="D22" s="5">
        <v>0</v>
      </c>
      <c r="E22" s="6">
        <v>1</v>
      </c>
      <c r="F22" s="4">
        <v>2</v>
      </c>
      <c r="G22" s="6">
        <v>1</v>
      </c>
      <c r="H22">
        <v>1</v>
      </c>
      <c r="I22">
        <v>2</v>
      </c>
      <c r="J22">
        <v>0</v>
      </c>
      <c r="K22">
        <v>1</v>
      </c>
    </row>
    <row r="23" spans="1:11" x14ac:dyDescent="0.2">
      <c r="A23" s="15">
        <v>20</v>
      </c>
      <c r="B23" s="7">
        <v>0</v>
      </c>
      <c r="C23" s="8">
        <v>0</v>
      </c>
      <c r="D23" s="8">
        <v>1</v>
      </c>
      <c r="E23" s="9">
        <v>0</v>
      </c>
      <c r="F23" s="7">
        <v>2</v>
      </c>
      <c r="G23" s="9">
        <v>1</v>
      </c>
      <c r="H23">
        <v>0</v>
      </c>
      <c r="I23">
        <v>0</v>
      </c>
      <c r="J23">
        <v>1</v>
      </c>
      <c r="K23">
        <v>0</v>
      </c>
    </row>
    <row r="27" spans="1:11" x14ac:dyDescent="0.2">
      <c r="A27" t="s">
        <v>11</v>
      </c>
      <c r="B27" t="s">
        <v>30</v>
      </c>
      <c r="C27" t="s">
        <v>28</v>
      </c>
      <c r="E27" t="s">
        <v>12</v>
      </c>
      <c r="F27" t="s">
        <v>30</v>
      </c>
      <c r="G27" t="s">
        <v>28</v>
      </c>
      <c r="I27" t="s">
        <v>29</v>
      </c>
      <c r="J27" t="s">
        <v>30</v>
      </c>
      <c r="K27" t="s">
        <v>28</v>
      </c>
    </row>
    <row r="28" spans="1:11" x14ac:dyDescent="0.2">
      <c r="A28">
        <v>1</v>
      </c>
      <c r="B28">
        <v>106</v>
      </c>
      <c r="E28">
        <v>1</v>
      </c>
      <c r="F28">
        <v>3.2666666666666666</v>
      </c>
      <c r="I28">
        <v>1</v>
      </c>
      <c r="J28">
        <v>2.9672131147540988</v>
      </c>
    </row>
    <row r="29" spans="1:11" x14ac:dyDescent="0.2">
      <c r="A29">
        <v>2</v>
      </c>
      <c r="B29">
        <v>176</v>
      </c>
      <c r="C29">
        <v>160.66666666666666</v>
      </c>
      <c r="E29">
        <v>2</v>
      </c>
      <c r="F29">
        <v>2.8666666666666667</v>
      </c>
      <c r="G29">
        <v>2.7777777777777772</v>
      </c>
      <c r="I29">
        <v>2</v>
      </c>
      <c r="J29">
        <v>3.7142857142857144</v>
      </c>
      <c r="K29">
        <v>3.1665602157405437</v>
      </c>
    </row>
    <row r="30" spans="1:11" x14ac:dyDescent="0.2">
      <c r="A30">
        <v>3</v>
      </c>
      <c r="B30">
        <v>200</v>
      </c>
      <c r="C30">
        <v>204.66666666666666</v>
      </c>
      <c r="E30">
        <v>3</v>
      </c>
      <c r="F30">
        <v>2.2000000000000002</v>
      </c>
      <c r="G30">
        <v>2.3555555555555556</v>
      </c>
      <c r="I30">
        <v>3</v>
      </c>
      <c r="J30">
        <v>2.8181818181818183</v>
      </c>
      <c r="K30">
        <v>3.1774891774891771</v>
      </c>
    </row>
    <row r="31" spans="1:11" x14ac:dyDescent="0.2">
      <c r="A31">
        <v>4</v>
      </c>
      <c r="B31">
        <v>238</v>
      </c>
      <c r="C31">
        <v>222.66666666666666</v>
      </c>
      <c r="E31">
        <v>4</v>
      </c>
      <c r="F31">
        <v>2</v>
      </c>
      <c r="G31">
        <v>1.9714285714285715</v>
      </c>
      <c r="I31">
        <v>4</v>
      </c>
      <c r="J31">
        <v>3</v>
      </c>
      <c r="K31">
        <v>3.1477272727272729</v>
      </c>
    </row>
    <row r="32" spans="1:11" x14ac:dyDescent="0.2">
      <c r="A32">
        <v>5</v>
      </c>
      <c r="B32">
        <v>230</v>
      </c>
      <c r="C32">
        <v>231.66666666666666</v>
      </c>
      <c r="E32">
        <v>5</v>
      </c>
      <c r="F32">
        <v>1.7142857142857142</v>
      </c>
      <c r="G32">
        <v>1.7714285714285716</v>
      </c>
      <c r="I32">
        <v>5</v>
      </c>
      <c r="J32">
        <v>3.625</v>
      </c>
      <c r="K32">
        <v>3.4464285714285716</v>
      </c>
    </row>
    <row r="33" spans="1:11" x14ac:dyDescent="0.2">
      <c r="A33">
        <v>6</v>
      </c>
      <c r="B33">
        <v>227</v>
      </c>
      <c r="C33">
        <v>217.66666666666666</v>
      </c>
      <c r="E33">
        <v>6</v>
      </c>
      <c r="F33">
        <v>1.6</v>
      </c>
      <c r="G33">
        <v>1.549206349206349</v>
      </c>
      <c r="I33">
        <v>6</v>
      </c>
      <c r="J33">
        <v>3.7142857142857144</v>
      </c>
      <c r="K33">
        <v>3.2612433862433861</v>
      </c>
    </row>
    <row r="34" spans="1:11" x14ac:dyDescent="0.2">
      <c r="A34">
        <v>7</v>
      </c>
      <c r="B34">
        <v>196</v>
      </c>
      <c r="C34">
        <v>201.33333333333334</v>
      </c>
      <c r="E34">
        <v>7</v>
      </c>
      <c r="F34">
        <v>1.3333333333333333</v>
      </c>
      <c r="G34">
        <v>1.3825396825396827</v>
      </c>
      <c r="I34">
        <v>7</v>
      </c>
      <c r="J34">
        <v>2.4444444444444446</v>
      </c>
      <c r="K34">
        <v>2.7195767195767195</v>
      </c>
    </row>
    <row r="35" spans="1:11" x14ac:dyDescent="0.2">
      <c r="A35">
        <v>8</v>
      </c>
      <c r="B35">
        <v>181</v>
      </c>
      <c r="C35">
        <v>178</v>
      </c>
      <c r="E35">
        <v>8</v>
      </c>
      <c r="F35">
        <v>1.2142857142857142</v>
      </c>
      <c r="G35">
        <v>1.1825396825396826</v>
      </c>
      <c r="I35">
        <v>8</v>
      </c>
      <c r="J35">
        <v>2</v>
      </c>
      <c r="K35">
        <v>2.1005291005291009</v>
      </c>
    </row>
    <row r="36" spans="1:11" x14ac:dyDescent="0.2">
      <c r="A36">
        <v>9</v>
      </c>
      <c r="B36">
        <v>157</v>
      </c>
      <c r="C36">
        <v>161.66666666666666</v>
      </c>
      <c r="E36">
        <v>9</v>
      </c>
      <c r="F36">
        <v>1</v>
      </c>
      <c r="G36">
        <v>0.9825396825396826</v>
      </c>
      <c r="I36">
        <v>9</v>
      </c>
      <c r="J36">
        <v>1.8571428571428572</v>
      </c>
      <c r="K36">
        <v>1.9523809523809526</v>
      </c>
    </row>
    <row r="37" spans="1:11" x14ac:dyDescent="0.2">
      <c r="A37">
        <v>10</v>
      </c>
      <c r="B37">
        <v>147</v>
      </c>
      <c r="C37">
        <v>142.33333333333334</v>
      </c>
      <c r="E37">
        <v>10</v>
      </c>
      <c r="F37">
        <v>0.73333333333333328</v>
      </c>
      <c r="G37">
        <v>0.77777777777777779</v>
      </c>
      <c r="I37">
        <v>10</v>
      </c>
      <c r="J37">
        <v>2</v>
      </c>
      <c r="K37">
        <v>1.7301587301587302</v>
      </c>
    </row>
    <row r="38" spans="1:11" x14ac:dyDescent="0.2">
      <c r="A38">
        <v>11</v>
      </c>
      <c r="B38">
        <v>123</v>
      </c>
      <c r="C38">
        <v>123</v>
      </c>
      <c r="E38">
        <v>11</v>
      </c>
      <c r="F38">
        <v>0.6</v>
      </c>
      <c r="G38">
        <v>0.57777777777777783</v>
      </c>
      <c r="I38">
        <v>11</v>
      </c>
      <c r="J38">
        <v>1.3333333333333333</v>
      </c>
      <c r="K38">
        <v>1.4444444444444444</v>
      </c>
    </row>
    <row r="39" spans="1:11" x14ac:dyDescent="0.2">
      <c r="A39">
        <v>12</v>
      </c>
      <c r="B39">
        <v>99</v>
      </c>
      <c r="C39">
        <v>102.66666666666667</v>
      </c>
      <c r="E39">
        <v>12</v>
      </c>
      <c r="F39">
        <v>0.4</v>
      </c>
      <c r="G39">
        <v>0.46031746031746029</v>
      </c>
      <c r="I39">
        <v>12</v>
      </c>
      <c r="J39">
        <v>1</v>
      </c>
      <c r="K39">
        <v>1.1111111111111109</v>
      </c>
    </row>
    <row r="40" spans="1:11" x14ac:dyDescent="0.2">
      <c r="A40">
        <v>13</v>
      </c>
      <c r="B40">
        <v>86</v>
      </c>
      <c r="C40">
        <v>86.333333333333329</v>
      </c>
      <c r="E40">
        <v>13</v>
      </c>
      <c r="F40">
        <v>0.38095238095238093</v>
      </c>
      <c r="G40">
        <v>0.40317460317460313</v>
      </c>
      <c r="I40">
        <v>13</v>
      </c>
      <c r="J40">
        <v>1</v>
      </c>
      <c r="K40">
        <v>1</v>
      </c>
    </row>
    <row r="41" spans="1:11" x14ac:dyDescent="0.2">
      <c r="A41">
        <v>14</v>
      </c>
      <c r="B41">
        <v>74</v>
      </c>
      <c r="C41">
        <v>71.666666666666671</v>
      </c>
      <c r="E41">
        <v>14</v>
      </c>
      <c r="F41">
        <v>0.42857142857142855</v>
      </c>
      <c r="G41">
        <v>0.32781228433402348</v>
      </c>
      <c r="I41">
        <v>14</v>
      </c>
      <c r="J41">
        <v>1</v>
      </c>
      <c r="K41">
        <v>1</v>
      </c>
    </row>
    <row r="42" spans="1:11" x14ac:dyDescent="0.2">
      <c r="A42">
        <v>15</v>
      </c>
      <c r="B42">
        <v>55</v>
      </c>
      <c r="C42">
        <v>53.666666666666664</v>
      </c>
      <c r="E42">
        <v>15</v>
      </c>
      <c r="F42">
        <v>0.17391304347826086</v>
      </c>
      <c r="G42">
        <v>0.23928969581143492</v>
      </c>
      <c r="I42">
        <v>15</v>
      </c>
      <c r="J42">
        <v>1</v>
      </c>
      <c r="K42">
        <v>1</v>
      </c>
    </row>
    <row r="43" spans="1:11" x14ac:dyDescent="0.2">
      <c r="A43">
        <v>16</v>
      </c>
      <c r="B43">
        <v>32</v>
      </c>
      <c r="C43">
        <v>34.666666666666664</v>
      </c>
      <c r="E43">
        <v>16</v>
      </c>
      <c r="F43">
        <v>0.11538461538461539</v>
      </c>
      <c r="G43">
        <v>0.17976588628762544</v>
      </c>
      <c r="I43">
        <v>16</v>
      </c>
      <c r="J43">
        <v>1</v>
      </c>
      <c r="K43">
        <v>1</v>
      </c>
    </row>
    <row r="44" spans="1:11" x14ac:dyDescent="0.2">
      <c r="A44">
        <v>17</v>
      </c>
      <c r="B44">
        <v>17</v>
      </c>
      <c r="C44">
        <v>16.333333333333332</v>
      </c>
      <c r="E44">
        <v>17</v>
      </c>
      <c r="F44">
        <v>0.25</v>
      </c>
      <c r="G44">
        <v>0.17179487179487182</v>
      </c>
      <c r="I44">
        <v>17</v>
      </c>
      <c r="J44">
        <v>1</v>
      </c>
      <c r="K44">
        <v>1</v>
      </c>
    </row>
    <row r="45" spans="1:11" x14ac:dyDescent="0.2">
      <c r="A45">
        <v>18</v>
      </c>
      <c r="B45">
        <v>0</v>
      </c>
      <c r="C45">
        <v>5.666666666666667</v>
      </c>
      <c r="E45">
        <v>18</v>
      </c>
      <c r="F45">
        <v>0.15</v>
      </c>
      <c r="G45">
        <v>0.46666666666666662</v>
      </c>
      <c r="I45">
        <v>18</v>
      </c>
      <c r="J45">
        <v>1</v>
      </c>
      <c r="K45">
        <v>1</v>
      </c>
    </row>
    <row r="46" spans="1:11" x14ac:dyDescent="0.2">
      <c r="A46">
        <v>19</v>
      </c>
      <c r="B46">
        <v>0</v>
      </c>
      <c r="C46">
        <v>0</v>
      </c>
      <c r="E46">
        <v>19</v>
      </c>
      <c r="F46">
        <v>1</v>
      </c>
      <c r="G46">
        <v>0.71666666666666667</v>
      </c>
      <c r="I46">
        <v>19</v>
      </c>
      <c r="J46">
        <v>1</v>
      </c>
      <c r="K46">
        <v>1</v>
      </c>
    </row>
    <row r="47" spans="1:11" x14ac:dyDescent="0.2">
      <c r="A47">
        <v>20</v>
      </c>
      <c r="B47">
        <v>0</v>
      </c>
      <c r="E47">
        <v>20</v>
      </c>
      <c r="F47">
        <v>1</v>
      </c>
      <c r="I47">
        <v>20</v>
      </c>
      <c r="J47">
        <v>1</v>
      </c>
    </row>
  </sheetData>
  <mergeCells count="2">
    <mergeCell ref="B1:E1"/>
    <mergeCell ref="F1:I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2D35-E523-7F4F-BD5A-FD0DC7E4ABD5}">
  <dimension ref="A1:K46"/>
  <sheetViews>
    <sheetView workbookViewId="0">
      <selection sqref="A1:K2"/>
    </sheetView>
  </sheetViews>
  <sheetFormatPr baseColWidth="10" defaultRowHeight="15" x14ac:dyDescent="0.2"/>
  <sheetData>
    <row r="1" spans="1:11" x14ac:dyDescent="0.2">
      <c r="A1" s="13"/>
      <c r="B1" s="58" t="s">
        <v>33</v>
      </c>
      <c r="C1" s="59"/>
      <c r="D1" s="59"/>
      <c r="E1" s="60"/>
      <c r="F1" s="58" t="s">
        <v>34</v>
      </c>
      <c r="G1" s="59"/>
      <c r="H1" s="59"/>
      <c r="I1" s="60"/>
    </row>
    <row r="2" spans="1:11" x14ac:dyDescent="0.2">
      <c r="A2" s="3" t="s">
        <v>39</v>
      </c>
      <c r="B2" s="10" t="s">
        <v>35</v>
      </c>
      <c r="C2" s="11" t="s">
        <v>36</v>
      </c>
      <c r="D2" s="11" t="s">
        <v>37</v>
      </c>
      <c r="E2" s="12" t="s">
        <v>38</v>
      </c>
      <c r="F2" s="18" t="s">
        <v>40</v>
      </c>
      <c r="G2" s="17" t="s">
        <v>41</v>
      </c>
      <c r="I2" s="19"/>
    </row>
    <row r="3" spans="1:11" x14ac:dyDescent="0.2">
      <c r="A3" s="14"/>
      <c r="B3" s="4">
        <v>2</v>
      </c>
      <c r="C3" s="5">
        <v>4</v>
      </c>
      <c r="D3" s="5">
        <v>1</v>
      </c>
      <c r="E3" s="6">
        <v>3</v>
      </c>
      <c r="F3">
        <v>5</v>
      </c>
      <c r="G3">
        <v>5</v>
      </c>
      <c r="H3">
        <v>2</v>
      </c>
      <c r="I3">
        <v>2</v>
      </c>
    </row>
    <row r="4" spans="1:11" x14ac:dyDescent="0.2">
      <c r="A4" s="14">
        <v>1</v>
      </c>
      <c r="B4" s="4">
        <v>10</v>
      </c>
      <c r="C4" s="5">
        <v>5</v>
      </c>
      <c r="D4" s="5">
        <v>8</v>
      </c>
      <c r="E4" s="6">
        <v>25</v>
      </c>
      <c r="F4">
        <v>2</v>
      </c>
      <c r="G4">
        <v>1</v>
      </c>
      <c r="H4">
        <v>6</v>
      </c>
      <c r="I4">
        <v>0</v>
      </c>
      <c r="J4">
        <v>8</v>
      </c>
      <c r="K4">
        <v>2</v>
      </c>
    </row>
    <row r="5" spans="1:11" x14ac:dyDescent="0.2">
      <c r="A5" s="14">
        <v>2</v>
      </c>
      <c r="B5" s="4">
        <v>7</v>
      </c>
      <c r="C5" s="5">
        <v>10</v>
      </c>
      <c r="D5" s="5">
        <v>6</v>
      </c>
      <c r="E5" s="6">
        <v>19</v>
      </c>
      <c r="F5">
        <v>2</v>
      </c>
      <c r="G5">
        <v>1</v>
      </c>
      <c r="H5">
        <v>4</v>
      </c>
      <c r="I5">
        <v>0</v>
      </c>
      <c r="J5">
        <v>0</v>
      </c>
      <c r="K5">
        <v>15</v>
      </c>
    </row>
    <row r="6" spans="1:11" x14ac:dyDescent="0.2">
      <c r="A6" s="14">
        <v>3</v>
      </c>
      <c r="B6" s="4">
        <v>6</v>
      </c>
      <c r="C6" s="5">
        <v>5</v>
      </c>
      <c r="D6" s="5">
        <v>5</v>
      </c>
      <c r="E6" s="6">
        <v>16</v>
      </c>
      <c r="F6">
        <v>2</v>
      </c>
      <c r="G6">
        <v>1</v>
      </c>
      <c r="H6">
        <v>0</v>
      </c>
      <c r="I6">
        <v>5</v>
      </c>
      <c r="J6">
        <v>4</v>
      </c>
      <c r="K6">
        <v>8</v>
      </c>
    </row>
    <row r="7" spans="1:11" x14ac:dyDescent="0.2">
      <c r="A7" s="14">
        <v>4</v>
      </c>
      <c r="B7" s="4">
        <v>7</v>
      </c>
      <c r="C7" s="5">
        <v>4</v>
      </c>
      <c r="D7" s="5">
        <v>8</v>
      </c>
      <c r="E7" s="6">
        <v>8</v>
      </c>
      <c r="F7">
        <v>2</v>
      </c>
      <c r="G7">
        <v>1</v>
      </c>
      <c r="H7">
        <v>7</v>
      </c>
      <c r="I7">
        <v>0</v>
      </c>
      <c r="J7">
        <v>2</v>
      </c>
      <c r="K7">
        <v>5</v>
      </c>
    </row>
    <row r="8" spans="1:11" x14ac:dyDescent="0.2">
      <c r="A8" s="14">
        <v>5</v>
      </c>
      <c r="B8" s="4">
        <v>2</v>
      </c>
      <c r="C8" s="5">
        <v>5</v>
      </c>
      <c r="D8" s="5">
        <v>2</v>
      </c>
      <c r="E8" s="6">
        <v>14</v>
      </c>
      <c r="F8">
        <v>2</v>
      </c>
      <c r="G8">
        <v>1</v>
      </c>
      <c r="H8">
        <v>0</v>
      </c>
      <c r="I8">
        <v>4</v>
      </c>
      <c r="J8">
        <v>1</v>
      </c>
      <c r="K8">
        <v>14</v>
      </c>
    </row>
    <row r="9" spans="1:11" x14ac:dyDescent="0.2">
      <c r="A9" s="14">
        <v>6</v>
      </c>
      <c r="B9" s="4">
        <v>3</v>
      </c>
      <c r="C9" s="5">
        <v>3</v>
      </c>
      <c r="D9" s="5">
        <v>1</v>
      </c>
      <c r="E9" s="6">
        <v>16</v>
      </c>
      <c r="F9">
        <v>2</v>
      </c>
      <c r="G9">
        <v>1</v>
      </c>
      <c r="H9">
        <v>2</v>
      </c>
      <c r="I9">
        <v>6</v>
      </c>
      <c r="J9">
        <v>4</v>
      </c>
      <c r="K9">
        <v>1</v>
      </c>
    </row>
    <row r="10" spans="1:11" x14ac:dyDescent="0.2">
      <c r="A10" s="14">
        <v>7</v>
      </c>
      <c r="B10" s="4">
        <v>1</v>
      </c>
      <c r="C10" s="5">
        <v>2</v>
      </c>
      <c r="D10" s="5">
        <v>1</v>
      </c>
      <c r="E10" s="6">
        <v>15</v>
      </c>
      <c r="F10">
        <v>2</v>
      </c>
      <c r="G10">
        <v>1</v>
      </c>
      <c r="H10">
        <v>4</v>
      </c>
      <c r="I10">
        <v>0</v>
      </c>
      <c r="J10">
        <v>0</v>
      </c>
      <c r="K10">
        <v>15</v>
      </c>
    </row>
    <row r="11" spans="1:11" x14ac:dyDescent="0.2">
      <c r="A11" s="14">
        <v>8</v>
      </c>
      <c r="B11" s="4">
        <v>3</v>
      </c>
      <c r="C11" s="5">
        <v>1</v>
      </c>
      <c r="D11" s="5">
        <v>3</v>
      </c>
      <c r="E11" s="6">
        <v>9</v>
      </c>
      <c r="F11">
        <v>2</v>
      </c>
      <c r="G11">
        <v>1</v>
      </c>
      <c r="H11">
        <v>1</v>
      </c>
      <c r="I11">
        <v>5</v>
      </c>
      <c r="J11">
        <v>8</v>
      </c>
      <c r="K11">
        <v>2</v>
      </c>
    </row>
    <row r="12" spans="1:11" x14ac:dyDescent="0.2">
      <c r="A12" s="14">
        <v>9</v>
      </c>
      <c r="B12" s="4">
        <v>1</v>
      </c>
      <c r="C12" s="5">
        <v>4</v>
      </c>
      <c r="D12" s="5">
        <v>1</v>
      </c>
      <c r="E12" s="6">
        <v>7</v>
      </c>
      <c r="F12">
        <v>2</v>
      </c>
      <c r="G12">
        <v>1</v>
      </c>
      <c r="H12">
        <v>6</v>
      </c>
      <c r="I12">
        <v>1</v>
      </c>
      <c r="J12">
        <v>1</v>
      </c>
      <c r="K12">
        <v>6</v>
      </c>
    </row>
    <row r="13" spans="1:11" x14ac:dyDescent="0.2">
      <c r="A13" s="14">
        <v>10</v>
      </c>
      <c r="B13" s="4">
        <v>0</v>
      </c>
      <c r="C13" s="5">
        <v>2</v>
      </c>
      <c r="D13" s="5">
        <v>3</v>
      </c>
      <c r="E13" s="6">
        <v>5</v>
      </c>
      <c r="F13">
        <v>2</v>
      </c>
      <c r="G13">
        <v>1</v>
      </c>
      <c r="H13">
        <v>2</v>
      </c>
      <c r="I13">
        <v>3</v>
      </c>
      <c r="J13">
        <v>1</v>
      </c>
      <c r="K13">
        <v>11</v>
      </c>
    </row>
    <row r="14" spans="1:11" x14ac:dyDescent="0.2">
      <c r="A14" s="14">
        <v>11</v>
      </c>
      <c r="B14" s="4">
        <v>1</v>
      </c>
      <c r="C14" s="5">
        <v>1</v>
      </c>
      <c r="D14" s="5">
        <v>1</v>
      </c>
      <c r="E14" s="6">
        <v>5</v>
      </c>
      <c r="F14">
        <v>2</v>
      </c>
      <c r="G14">
        <v>1</v>
      </c>
      <c r="H14">
        <v>3</v>
      </c>
      <c r="I14">
        <v>5</v>
      </c>
      <c r="J14">
        <v>1</v>
      </c>
      <c r="K14">
        <v>4</v>
      </c>
    </row>
    <row r="15" spans="1:11" x14ac:dyDescent="0.2">
      <c r="A15" s="14">
        <v>12</v>
      </c>
      <c r="B15" s="4">
        <v>2</v>
      </c>
      <c r="C15" s="5">
        <v>0</v>
      </c>
      <c r="D15" s="5">
        <v>3</v>
      </c>
      <c r="E15" s="6">
        <v>2</v>
      </c>
      <c r="F15">
        <v>2</v>
      </c>
      <c r="G15">
        <v>1</v>
      </c>
      <c r="H15">
        <v>0</v>
      </c>
      <c r="I15">
        <v>3</v>
      </c>
      <c r="J15">
        <v>1</v>
      </c>
      <c r="K15">
        <v>16</v>
      </c>
    </row>
    <row r="16" spans="1:11" x14ac:dyDescent="0.2">
      <c r="A16" s="14">
        <v>13</v>
      </c>
      <c r="B16" s="4">
        <v>2</v>
      </c>
      <c r="C16" s="5">
        <v>1</v>
      </c>
      <c r="D16" s="5">
        <v>2</v>
      </c>
      <c r="E16" s="6">
        <v>2</v>
      </c>
      <c r="F16">
        <v>2</v>
      </c>
      <c r="G16">
        <v>1</v>
      </c>
      <c r="H16">
        <v>1</v>
      </c>
      <c r="I16">
        <v>2</v>
      </c>
      <c r="J16">
        <v>3</v>
      </c>
      <c r="K16">
        <v>14</v>
      </c>
    </row>
    <row r="17" spans="1:11" x14ac:dyDescent="0.2">
      <c r="A17" s="14">
        <v>14</v>
      </c>
      <c r="B17" s="4">
        <v>2</v>
      </c>
      <c r="C17" s="5">
        <v>1</v>
      </c>
      <c r="D17" s="5">
        <v>3</v>
      </c>
      <c r="E17" s="6">
        <v>2</v>
      </c>
      <c r="F17">
        <v>2</v>
      </c>
      <c r="G17">
        <v>1</v>
      </c>
      <c r="H17">
        <v>4</v>
      </c>
      <c r="I17">
        <v>1</v>
      </c>
      <c r="J17">
        <v>1</v>
      </c>
      <c r="K17">
        <v>11</v>
      </c>
    </row>
    <row r="18" spans="1:11" x14ac:dyDescent="0.2">
      <c r="A18" s="14">
        <v>15</v>
      </c>
      <c r="B18" s="4">
        <v>1</v>
      </c>
      <c r="C18" s="5">
        <v>1</v>
      </c>
      <c r="D18" s="5">
        <v>0</v>
      </c>
      <c r="E18" s="6">
        <v>1</v>
      </c>
      <c r="F18">
        <v>2</v>
      </c>
      <c r="G18">
        <v>1</v>
      </c>
      <c r="H18">
        <v>0</v>
      </c>
      <c r="I18">
        <v>4</v>
      </c>
      <c r="J18">
        <v>4</v>
      </c>
      <c r="K18">
        <v>11</v>
      </c>
    </row>
    <row r="19" spans="1:11" x14ac:dyDescent="0.2">
      <c r="A19" s="14">
        <v>16</v>
      </c>
      <c r="B19" s="4">
        <v>0</v>
      </c>
      <c r="C19" s="5">
        <v>0</v>
      </c>
      <c r="D19" s="5">
        <v>1</v>
      </c>
      <c r="E19" s="6">
        <v>1</v>
      </c>
      <c r="F19">
        <v>2</v>
      </c>
      <c r="G19">
        <v>1</v>
      </c>
      <c r="H19">
        <v>3</v>
      </c>
      <c r="I19">
        <v>3</v>
      </c>
      <c r="J19">
        <v>4</v>
      </c>
      <c r="K19">
        <v>6</v>
      </c>
    </row>
    <row r="20" spans="1:11" x14ac:dyDescent="0.2">
      <c r="A20" s="14">
        <v>17</v>
      </c>
      <c r="B20" s="4">
        <v>2</v>
      </c>
      <c r="C20" s="5">
        <v>2</v>
      </c>
      <c r="D20" s="5">
        <v>0</v>
      </c>
      <c r="E20" s="6">
        <v>0</v>
      </c>
      <c r="F20">
        <v>2</v>
      </c>
      <c r="G20">
        <v>1</v>
      </c>
      <c r="H20">
        <v>4</v>
      </c>
      <c r="I20">
        <v>2</v>
      </c>
      <c r="J20">
        <v>5</v>
      </c>
      <c r="K20">
        <v>5</v>
      </c>
    </row>
    <row r="21" spans="1:11" x14ac:dyDescent="0.2">
      <c r="A21" s="14">
        <v>18</v>
      </c>
      <c r="B21" s="4">
        <v>0</v>
      </c>
      <c r="C21" s="5">
        <v>1</v>
      </c>
      <c r="D21" s="5">
        <v>0</v>
      </c>
      <c r="E21" s="6">
        <v>1</v>
      </c>
      <c r="F21">
        <v>2</v>
      </c>
      <c r="G21">
        <v>1</v>
      </c>
      <c r="H21">
        <v>3</v>
      </c>
      <c r="I21">
        <v>4</v>
      </c>
      <c r="J21">
        <v>0</v>
      </c>
      <c r="K21">
        <v>2</v>
      </c>
    </row>
    <row r="22" spans="1:11" x14ac:dyDescent="0.2">
      <c r="A22" s="14">
        <v>19</v>
      </c>
      <c r="B22" s="4">
        <v>1</v>
      </c>
      <c r="C22" s="5">
        <v>2</v>
      </c>
      <c r="D22" s="5">
        <v>0</v>
      </c>
      <c r="E22" s="6">
        <v>1</v>
      </c>
      <c r="F22">
        <v>2</v>
      </c>
      <c r="G22">
        <v>1</v>
      </c>
      <c r="H22">
        <v>1</v>
      </c>
      <c r="I22">
        <v>2</v>
      </c>
      <c r="J22">
        <v>0</v>
      </c>
      <c r="K22">
        <v>1</v>
      </c>
    </row>
    <row r="23" spans="1:11" x14ac:dyDescent="0.2">
      <c r="A23" s="15">
        <v>20</v>
      </c>
      <c r="B23" s="7">
        <v>0</v>
      </c>
      <c r="C23" s="8">
        <v>0</v>
      </c>
      <c r="D23" s="8">
        <v>1</v>
      </c>
      <c r="E23" s="9">
        <v>0</v>
      </c>
      <c r="F23">
        <v>2</v>
      </c>
      <c r="G23">
        <v>1</v>
      </c>
      <c r="H23">
        <v>0</v>
      </c>
      <c r="I23">
        <v>0</v>
      </c>
      <c r="J23">
        <v>1</v>
      </c>
      <c r="K23">
        <v>0</v>
      </c>
    </row>
    <row r="26" spans="1:11" x14ac:dyDescent="0.2">
      <c r="A26" t="s">
        <v>11</v>
      </c>
      <c r="B26" t="s">
        <v>30</v>
      </c>
      <c r="C26" t="s">
        <v>28</v>
      </c>
      <c r="E26" t="s">
        <v>12</v>
      </c>
      <c r="F26" t="s">
        <v>30</v>
      </c>
      <c r="G26" t="s">
        <v>28</v>
      </c>
      <c r="I26" t="s">
        <v>29</v>
      </c>
      <c r="J26" t="s">
        <v>30</v>
      </c>
      <c r="K26" t="s">
        <v>28</v>
      </c>
    </row>
    <row r="27" spans="1:11" x14ac:dyDescent="0.2">
      <c r="A27">
        <v>1</v>
      </c>
      <c r="B27">
        <v>56</v>
      </c>
      <c r="E27">
        <v>1</v>
      </c>
      <c r="F27">
        <v>2.8823529411764706</v>
      </c>
      <c r="I27">
        <v>1</v>
      </c>
      <c r="J27">
        <v>1.2836879432624115</v>
      </c>
    </row>
    <row r="28" spans="1:11" x14ac:dyDescent="0.2">
      <c r="A28">
        <v>2</v>
      </c>
      <c r="B28">
        <v>133</v>
      </c>
      <c r="C28">
        <v>126.33333333333333</v>
      </c>
      <c r="E28">
        <v>2</v>
      </c>
      <c r="F28">
        <v>2.15</v>
      </c>
      <c r="G28">
        <v>2.2885620915032678</v>
      </c>
      <c r="I28">
        <v>2</v>
      </c>
      <c r="J28">
        <v>3.6</v>
      </c>
      <c r="K28">
        <v>3.2945626477541374</v>
      </c>
    </row>
    <row r="29" spans="1:11" x14ac:dyDescent="0.2">
      <c r="A29">
        <v>3</v>
      </c>
      <c r="B29">
        <v>190</v>
      </c>
      <c r="C29">
        <v>187.33333333333334</v>
      </c>
      <c r="E29">
        <v>3</v>
      </c>
      <c r="F29">
        <v>1.8333333333333333</v>
      </c>
      <c r="G29">
        <v>1.95</v>
      </c>
      <c r="I29">
        <v>3</v>
      </c>
      <c r="J29">
        <v>5</v>
      </c>
      <c r="K29">
        <v>4.0666666666666664</v>
      </c>
    </row>
    <row r="30" spans="1:11" x14ac:dyDescent="0.2">
      <c r="A30">
        <v>4</v>
      </c>
      <c r="B30">
        <v>239</v>
      </c>
      <c r="C30">
        <v>230</v>
      </c>
      <c r="E30">
        <v>4</v>
      </c>
      <c r="F30">
        <v>1.8666666666666667</v>
      </c>
      <c r="G30">
        <v>1.6333333333333335</v>
      </c>
      <c r="I30">
        <v>4</v>
      </c>
      <c r="J30">
        <v>3.6</v>
      </c>
      <c r="K30">
        <v>8.0333333333333332</v>
      </c>
    </row>
    <row r="31" spans="1:11" x14ac:dyDescent="0.2">
      <c r="A31">
        <v>5</v>
      </c>
      <c r="B31">
        <v>261</v>
      </c>
      <c r="C31">
        <v>253</v>
      </c>
      <c r="E31">
        <v>5</v>
      </c>
      <c r="F31">
        <v>1.2</v>
      </c>
      <c r="G31">
        <v>1.5936507936507935</v>
      </c>
      <c r="I31">
        <v>5</v>
      </c>
      <c r="J31">
        <v>15.5</v>
      </c>
      <c r="K31">
        <v>7.9857142857142867</v>
      </c>
    </row>
    <row r="32" spans="1:11" x14ac:dyDescent="0.2">
      <c r="A32">
        <v>6</v>
      </c>
      <c r="B32">
        <v>259</v>
      </c>
      <c r="C32">
        <v>255.66666666666666</v>
      </c>
      <c r="E32">
        <v>6</v>
      </c>
      <c r="F32">
        <v>1.7142857142857142</v>
      </c>
      <c r="G32">
        <v>1.3047619047619048</v>
      </c>
      <c r="I32">
        <v>6</v>
      </c>
      <c r="J32">
        <v>4.8571428571428568</v>
      </c>
      <c r="K32">
        <v>8.7857142857142865</v>
      </c>
    </row>
    <row r="33" spans="1:11" x14ac:dyDescent="0.2">
      <c r="A33">
        <v>7</v>
      </c>
      <c r="B33">
        <v>247</v>
      </c>
      <c r="C33">
        <v>245</v>
      </c>
      <c r="E33">
        <v>7</v>
      </c>
      <c r="F33">
        <v>1</v>
      </c>
      <c r="G33">
        <v>1.2380952380952381</v>
      </c>
      <c r="I33">
        <v>7</v>
      </c>
      <c r="J33">
        <v>6</v>
      </c>
      <c r="K33">
        <v>4.6857142857142859</v>
      </c>
    </row>
    <row r="34" spans="1:11" x14ac:dyDescent="0.2">
      <c r="A34">
        <v>8</v>
      </c>
      <c r="B34">
        <v>229</v>
      </c>
      <c r="C34">
        <v>224.66666666666666</v>
      </c>
      <c r="E34">
        <v>8</v>
      </c>
      <c r="F34">
        <v>1</v>
      </c>
      <c r="G34">
        <v>0.97777777777777786</v>
      </c>
      <c r="I34">
        <v>8</v>
      </c>
      <c r="J34">
        <v>3.2</v>
      </c>
      <c r="K34">
        <v>4.1083333333333334</v>
      </c>
    </row>
    <row r="35" spans="1:11" x14ac:dyDescent="0.2">
      <c r="A35">
        <v>9</v>
      </c>
      <c r="B35">
        <v>198</v>
      </c>
      <c r="C35">
        <v>206</v>
      </c>
      <c r="E35">
        <v>9</v>
      </c>
      <c r="F35">
        <v>0.93333333333333335</v>
      </c>
      <c r="G35">
        <v>0.8481481481481481</v>
      </c>
      <c r="I35">
        <v>9</v>
      </c>
      <c r="J35">
        <v>3.125</v>
      </c>
      <c r="K35">
        <v>3.8583333333333329</v>
      </c>
    </row>
    <row r="36" spans="1:11" x14ac:dyDescent="0.2">
      <c r="A36">
        <v>10</v>
      </c>
      <c r="B36">
        <v>191</v>
      </c>
      <c r="C36">
        <v>187.66666666666666</v>
      </c>
      <c r="E36">
        <v>10</v>
      </c>
      <c r="F36">
        <v>0.61111111111111116</v>
      </c>
      <c r="G36">
        <v>0.72910052910052914</v>
      </c>
      <c r="I36">
        <v>10</v>
      </c>
      <c r="J36">
        <v>5.25</v>
      </c>
      <c r="K36">
        <v>4.125</v>
      </c>
    </row>
    <row r="37" spans="1:11" x14ac:dyDescent="0.2">
      <c r="A37">
        <v>11</v>
      </c>
      <c r="B37">
        <v>174</v>
      </c>
      <c r="C37">
        <v>183.33333333333334</v>
      </c>
      <c r="E37">
        <v>11</v>
      </c>
      <c r="F37">
        <v>0.6428571428571429</v>
      </c>
      <c r="G37">
        <v>0.544973544973545</v>
      </c>
      <c r="I37">
        <v>11</v>
      </c>
      <c r="J37">
        <v>4</v>
      </c>
      <c r="K37">
        <v>6.583333333333333</v>
      </c>
    </row>
    <row r="38" spans="1:11" x14ac:dyDescent="0.2">
      <c r="A38">
        <v>12</v>
      </c>
      <c r="B38">
        <v>185</v>
      </c>
      <c r="C38">
        <v>177</v>
      </c>
      <c r="E38">
        <v>12</v>
      </c>
      <c r="F38">
        <v>0.38095238095238093</v>
      </c>
      <c r="G38">
        <v>0.4682539682539682</v>
      </c>
      <c r="I38">
        <v>12</v>
      </c>
      <c r="J38">
        <v>10.5</v>
      </c>
      <c r="K38">
        <v>6.4333333333333336</v>
      </c>
    </row>
    <row r="39" spans="1:11" x14ac:dyDescent="0.2">
      <c r="A39">
        <v>13</v>
      </c>
      <c r="B39">
        <v>172</v>
      </c>
      <c r="C39">
        <v>173.33333333333334</v>
      </c>
      <c r="E39">
        <v>13</v>
      </c>
      <c r="F39">
        <v>0.38095238095238093</v>
      </c>
      <c r="G39">
        <v>0.42063492063492064</v>
      </c>
      <c r="I39">
        <v>13</v>
      </c>
      <c r="J39">
        <v>4.8</v>
      </c>
      <c r="K39">
        <v>6.4888888888888898</v>
      </c>
    </row>
    <row r="40" spans="1:11" x14ac:dyDescent="0.2">
      <c r="A40">
        <v>14</v>
      </c>
      <c r="B40">
        <v>163</v>
      </c>
      <c r="C40">
        <v>154.66666666666666</v>
      </c>
      <c r="E40">
        <v>14</v>
      </c>
      <c r="F40">
        <v>0.5</v>
      </c>
      <c r="G40">
        <v>0.36031746031746031</v>
      </c>
      <c r="I40">
        <v>14</v>
      </c>
      <c r="J40">
        <v>4.166666666666667</v>
      </c>
      <c r="K40">
        <v>4.3888888888888893</v>
      </c>
    </row>
    <row r="41" spans="1:11" x14ac:dyDescent="0.2">
      <c r="A41">
        <v>15</v>
      </c>
      <c r="B41">
        <v>129</v>
      </c>
      <c r="C41">
        <v>123.66666666666667</v>
      </c>
      <c r="E41">
        <v>15</v>
      </c>
      <c r="F41">
        <v>0.2</v>
      </c>
      <c r="G41">
        <v>0.29215686274509806</v>
      </c>
      <c r="I41">
        <v>15</v>
      </c>
      <c r="J41">
        <v>4.2</v>
      </c>
      <c r="K41">
        <v>3.5388888888888892</v>
      </c>
    </row>
    <row r="42" spans="1:11" x14ac:dyDescent="0.2">
      <c r="A42">
        <v>16</v>
      </c>
      <c r="B42">
        <v>79</v>
      </c>
      <c r="C42">
        <v>77.666666666666671</v>
      </c>
      <c r="E42">
        <v>16</v>
      </c>
      <c r="F42">
        <v>0.17647058823529413</v>
      </c>
      <c r="G42">
        <v>0.22352941176470589</v>
      </c>
      <c r="I42">
        <v>16</v>
      </c>
      <c r="J42">
        <v>2.25</v>
      </c>
      <c r="K42">
        <v>2.5833333333333335</v>
      </c>
    </row>
    <row r="43" spans="1:11" x14ac:dyDescent="0.2">
      <c r="A43">
        <v>17</v>
      </c>
      <c r="B43">
        <v>25</v>
      </c>
      <c r="C43">
        <v>34.666666666666664</v>
      </c>
      <c r="E43">
        <v>17</v>
      </c>
      <c r="F43">
        <v>0.29411764705882354</v>
      </c>
      <c r="G43">
        <v>0.25686274509803919</v>
      </c>
      <c r="I43">
        <v>17</v>
      </c>
      <c r="J43">
        <v>1.3</v>
      </c>
      <c r="K43">
        <v>1.5166666666666666</v>
      </c>
    </row>
    <row r="44" spans="1:11" x14ac:dyDescent="0.2">
      <c r="A44">
        <v>18</v>
      </c>
      <c r="B44">
        <v>0</v>
      </c>
      <c r="C44">
        <v>8.3333333333333339</v>
      </c>
      <c r="E44">
        <v>18</v>
      </c>
      <c r="F44">
        <v>0.3</v>
      </c>
      <c r="G44">
        <v>0.53137254901960784</v>
      </c>
      <c r="I44">
        <v>18</v>
      </c>
      <c r="J44">
        <v>1</v>
      </c>
      <c r="K44">
        <v>1.0999999999999999</v>
      </c>
    </row>
    <row r="45" spans="1:11" x14ac:dyDescent="0.2">
      <c r="A45">
        <v>19</v>
      </c>
      <c r="B45">
        <v>0</v>
      </c>
      <c r="C45">
        <v>0</v>
      </c>
      <c r="E45">
        <v>19</v>
      </c>
      <c r="F45">
        <v>1</v>
      </c>
      <c r="G45">
        <v>0.76666666666666661</v>
      </c>
      <c r="I45">
        <v>19</v>
      </c>
      <c r="J45">
        <v>1</v>
      </c>
      <c r="K45">
        <v>1</v>
      </c>
    </row>
    <row r="46" spans="1:11" x14ac:dyDescent="0.2">
      <c r="A46">
        <v>20</v>
      </c>
      <c r="B46">
        <v>0</v>
      </c>
      <c r="E46">
        <v>20</v>
      </c>
      <c r="F46">
        <v>1</v>
      </c>
      <c r="I46">
        <v>20</v>
      </c>
      <c r="J46">
        <v>1</v>
      </c>
    </row>
  </sheetData>
  <mergeCells count="2">
    <mergeCell ref="B1:E1"/>
    <mergeCell ref="F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98609-8E46-C942-AA54-6FEC35EB76ED}">
  <dimension ref="A1:L46"/>
  <sheetViews>
    <sheetView workbookViewId="0">
      <selection activeCell="H10" sqref="H10"/>
    </sheetView>
  </sheetViews>
  <sheetFormatPr baseColWidth="10" defaultRowHeight="15" x14ac:dyDescent="0.2"/>
  <sheetData>
    <row r="1" spans="1:11" x14ac:dyDescent="0.2">
      <c r="A1" s="13"/>
      <c r="B1" s="58" t="s">
        <v>33</v>
      </c>
      <c r="C1" s="59"/>
      <c r="D1" s="59"/>
      <c r="E1" s="60"/>
      <c r="F1" s="58" t="s">
        <v>34</v>
      </c>
      <c r="G1" s="59"/>
      <c r="H1" s="59"/>
      <c r="I1" s="60"/>
    </row>
    <row r="2" spans="1:11" x14ac:dyDescent="0.2">
      <c r="A2" s="3" t="s">
        <v>39</v>
      </c>
      <c r="B2" s="10" t="s">
        <v>35</v>
      </c>
      <c r="C2" s="11" t="s">
        <v>36</v>
      </c>
      <c r="D2" s="11" t="s">
        <v>37</v>
      </c>
      <c r="E2" s="12" t="s">
        <v>38</v>
      </c>
      <c r="F2" s="18" t="s">
        <v>40</v>
      </c>
      <c r="G2" s="17" t="s">
        <v>41</v>
      </c>
      <c r="I2" s="19"/>
    </row>
    <row r="3" spans="1:11" x14ac:dyDescent="0.2">
      <c r="B3">
        <v>2</v>
      </c>
      <c r="C3">
        <v>4</v>
      </c>
      <c r="D3">
        <v>1</v>
      </c>
      <c r="E3">
        <v>3</v>
      </c>
      <c r="F3">
        <v>5</v>
      </c>
      <c r="G3">
        <v>5</v>
      </c>
      <c r="H3">
        <v>2</v>
      </c>
      <c r="I3">
        <v>2</v>
      </c>
    </row>
    <row r="4" spans="1:11" x14ac:dyDescent="0.2">
      <c r="A4">
        <v>1</v>
      </c>
      <c r="B4">
        <v>17</v>
      </c>
      <c r="C4">
        <v>15</v>
      </c>
      <c r="D4">
        <v>14</v>
      </c>
      <c r="E4">
        <v>44</v>
      </c>
      <c r="F4">
        <v>1</v>
      </c>
      <c r="G4">
        <v>2</v>
      </c>
      <c r="H4">
        <v>0</v>
      </c>
      <c r="I4">
        <v>0</v>
      </c>
      <c r="J4">
        <v>12</v>
      </c>
      <c r="K4">
        <v>0</v>
      </c>
    </row>
    <row r="5" spans="1:11" x14ac:dyDescent="0.2">
      <c r="A5">
        <v>2</v>
      </c>
      <c r="B5">
        <v>14</v>
      </c>
      <c r="C5">
        <v>14</v>
      </c>
      <c r="D5">
        <v>14</v>
      </c>
      <c r="E5">
        <v>27</v>
      </c>
      <c r="F5">
        <v>1</v>
      </c>
      <c r="G5">
        <v>2</v>
      </c>
      <c r="H5">
        <v>0</v>
      </c>
      <c r="I5">
        <v>0</v>
      </c>
      <c r="J5">
        <v>12</v>
      </c>
      <c r="K5">
        <v>0</v>
      </c>
    </row>
    <row r="6" spans="1:11" x14ac:dyDescent="0.2">
      <c r="A6">
        <v>3</v>
      </c>
      <c r="B6">
        <v>10</v>
      </c>
      <c r="C6">
        <v>7</v>
      </c>
      <c r="D6">
        <v>9</v>
      </c>
      <c r="E6">
        <v>24</v>
      </c>
      <c r="F6">
        <v>1</v>
      </c>
      <c r="G6">
        <v>2</v>
      </c>
      <c r="H6">
        <v>0</v>
      </c>
      <c r="I6">
        <v>0</v>
      </c>
      <c r="J6">
        <v>12</v>
      </c>
      <c r="K6">
        <v>0</v>
      </c>
    </row>
    <row r="7" spans="1:11" x14ac:dyDescent="0.2">
      <c r="A7">
        <v>4</v>
      </c>
      <c r="B7">
        <v>6</v>
      </c>
      <c r="C7">
        <v>4</v>
      </c>
      <c r="D7">
        <v>4</v>
      </c>
      <c r="E7">
        <v>25</v>
      </c>
      <c r="F7">
        <v>1</v>
      </c>
      <c r="G7">
        <v>2</v>
      </c>
      <c r="H7">
        <v>3</v>
      </c>
      <c r="I7">
        <v>0</v>
      </c>
      <c r="J7">
        <v>5</v>
      </c>
      <c r="K7">
        <v>0</v>
      </c>
    </row>
    <row r="8" spans="1:11" x14ac:dyDescent="0.2">
      <c r="A8">
        <v>5</v>
      </c>
      <c r="B8">
        <v>3</v>
      </c>
      <c r="C8">
        <v>1</v>
      </c>
      <c r="D8">
        <v>3</v>
      </c>
      <c r="E8">
        <v>9</v>
      </c>
      <c r="F8">
        <v>2</v>
      </c>
      <c r="G8">
        <v>1</v>
      </c>
      <c r="H8">
        <v>8</v>
      </c>
      <c r="I8">
        <v>0</v>
      </c>
      <c r="J8">
        <v>3</v>
      </c>
      <c r="K8">
        <v>2</v>
      </c>
    </row>
    <row r="9" spans="1:11" x14ac:dyDescent="0.2">
      <c r="A9">
        <v>6</v>
      </c>
      <c r="B9">
        <v>0</v>
      </c>
      <c r="C9">
        <v>2</v>
      </c>
      <c r="D9">
        <v>3</v>
      </c>
      <c r="E9">
        <v>5</v>
      </c>
      <c r="F9">
        <v>2</v>
      </c>
      <c r="G9">
        <v>1</v>
      </c>
      <c r="H9">
        <v>8</v>
      </c>
      <c r="I9">
        <v>0</v>
      </c>
      <c r="J9">
        <v>3</v>
      </c>
      <c r="K9">
        <v>2</v>
      </c>
    </row>
    <row r="10" spans="1:11" x14ac:dyDescent="0.2">
      <c r="A10">
        <v>7</v>
      </c>
      <c r="B10">
        <v>1</v>
      </c>
      <c r="C10">
        <v>1</v>
      </c>
      <c r="D10">
        <v>1</v>
      </c>
      <c r="E10">
        <v>5</v>
      </c>
      <c r="F10">
        <v>2</v>
      </c>
      <c r="G10">
        <v>1</v>
      </c>
      <c r="H10">
        <v>9</v>
      </c>
      <c r="I10">
        <v>0</v>
      </c>
      <c r="J10">
        <v>1</v>
      </c>
      <c r="K10">
        <v>1</v>
      </c>
    </row>
    <row r="11" spans="1:11" x14ac:dyDescent="0.2">
      <c r="A11">
        <v>8</v>
      </c>
      <c r="B11">
        <v>2</v>
      </c>
      <c r="C11">
        <v>0</v>
      </c>
      <c r="D11">
        <v>3</v>
      </c>
      <c r="E11">
        <v>2</v>
      </c>
      <c r="F11">
        <v>2</v>
      </c>
      <c r="G11">
        <v>1</v>
      </c>
      <c r="H11">
        <v>8</v>
      </c>
      <c r="I11">
        <v>0</v>
      </c>
      <c r="J11">
        <v>3</v>
      </c>
      <c r="K11">
        <v>2</v>
      </c>
    </row>
    <row r="12" spans="1:11" x14ac:dyDescent="0.2">
      <c r="A12">
        <v>9</v>
      </c>
      <c r="B12">
        <v>2</v>
      </c>
      <c r="C12">
        <v>1</v>
      </c>
      <c r="D12">
        <v>2</v>
      </c>
      <c r="E12">
        <v>2</v>
      </c>
      <c r="F12">
        <v>2</v>
      </c>
      <c r="G12">
        <v>1</v>
      </c>
      <c r="H12">
        <v>9</v>
      </c>
      <c r="I12">
        <v>0</v>
      </c>
      <c r="J12">
        <v>2</v>
      </c>
      <c r="K12">
        <v>0</v>
      </c>
    </row>
    <row r="13" spans="1:11" x14ac:dyDescent="0.2">
      <c r="A13">
        <v>10</v>
      </c>
      <c r="B13">
        <v>2</v>
      </c>
      <c r="C13">
        <v>1</v>
      </c>
      <c r="D13">
        <v>3</v>
      </c>
      <c r="E13">
        <v>2</v>
      </c>
      <c r="F13">
        <v>2</v>
      </c>
      <c r="G13">
        <v>1</v>
      </c>
      <c r="H13">
        <v>8</v>
      </c>
      <c r="I13">
        <v>0</v>
      </c>
      <c r="J13">
        <v>3</v>
      </c>
      <c r="K13">
        <v>2</v>
      </c>
    </row>
    <row r="14" spans="1:11" x14ac:dyDescent="0.2">
      <c r="A14">
        <v>11</v>
      </c>
      <c r="B14">
        <v>1</v>
      </c>
      <c r="C14">
        <v>1</v>
      </c>
      <c r="D14">
        <v>0</v>
      </c>
      <c r="E14">
        <v>1</v>
      </c>
      <c r="F14">
        <v>2</v>
      </c>
      <c r="G14">
        <v>1</v>
      </c>
      <c r="H14">
        <v>5</v>
      </c>
      <c r="I14">
        <v>0</v>
      </c>
      <c r="J14">
        <v>0</v>
      </c>
      <c r="K14">
        <v>12</v>
      </c>
    </row>
    <row r="15" spans="1:11" x14ac:dyDescent="0.2">
      <c r="A15">
        <v>12</v>
      </c>
      <c r="B15">
        <v>0</v>
      </c>
      <c r="C15">
        <v>0</v>
      </c>
      <c r="D15">
        <v>1</v>
      </c>
      <c r="E15">
        <v>1</v>
      </c>
      <c r="F15">
        <v>2</v>
      </c>
      <c r="G15">
        <v>1</v>
      </c>
      <c r="H15">
        <v>0</v>
      </c>
      <c r="I15">
        <v>0</v>
      </c>
      <c r="J15">
        <v>1</v>
      </c>
      <c r="K15">
        <v>24</v>
      </c>
    </row>
    <row r="16" spans="1:11" x14ac:dyDescent="0.2">
      <c r="A16">
        <v>13</v>
      </c>
      <c r="B16">
        <v>2</v>
      </c>
      <c r="C16">
        <v>2</v>
      </c>
      <c r="D16">
        <v>0</v>
      </c>
      <c r="E16">
        <v>0</v>
      </c>
      <c r="F16">
        <v>2</v>
      </c>
      <c r="G16">
        <v>1</v>
      </c>
      <c r="H16">
        <v>2</v>
      </c>
      <c r="I16">
        <v>0</v>
      </c>
      <c r="J16">
        <v>0</v>
      </c>
      <c r="K16">
        <v>20</v>
      </c>
    </row>
    <row r="17" spans="1:12" x14ac:dyDescent="0.2">
      <c r="A17">
        <v>14</v>
      </c>
      <c r="B17">
        <v>0</v>
      </c>
      <c r="C17">
        <v>1</v>
      </c>
      <c r="D17">
        <v>0</v>
      </c>
      <c r="E17">
        <v>1</v>
      </c>
      <c r="F17">
        <v>2</v>
      </c>
      <c r="G17">
        <v>1</v>
      </c>
      <c r="H17">
        <v>0</v>
      </c>
      <c r="I17">
        <v>0</v>
      </c>
      <c r="J17">
        <v>0</v>
      </c>
      <c r="K17">
        <v>25</v>
      </c>
    </row>
    <row r="18" spans="1:12" x14ac:dyDescent="0.2">
      <c r="A18">
        <v>15</v>
      </c>
      <c r="B18">
        <v>1</v>
      </c>
      <c r="C18">
        <v>2</v>
      </c>
      <c r="D18">
        <v>0</v>
      </c>
      <c r="E18">
        <v>1</v>
      </c>
      <c r="F18">
        <v>2</v>
      </c>
      <c r="G18">
        <v>1</v>
      </c>
      <c r="H18">
        <v>1</v>
      </c>
      <c r="I18">
        <v>0</v>
      </c>
      <c r="J18">
        <v>0</v>
      </c>
      <c r="K18">
        <v>22</v>
      </c>
    </row>
    <row r="19" spans="1:12" x14ac:dyDescent="0.2">
      <c r="A19">
        <v>16</v>
      </c>
      <c r="B19">
        <v>0</v>
      </c>
      <c r="C19">
        <v>0</v>
      </c>
      <c r="D19">
        <v>1</v>
      </c>
      <c r="E19">
        <v>0</v>
      </c>
      <c r="F19">
        <v>2</v>
      </c>
      <c r="G19">
        <v>1</v>
      </c>
      <c r="H19">
        <v>0</v>
      </c>
      <c r="I19">
        <v>0</v>
      </c>
      <c r="J19">
        <v>1</v>
      </c>
      <c r="K19">
        <v>24</v>
      </c>
    </row>
    <row r="20" spans="1:12" x14ac:dyDescent="0.2">
      <c r="A20">
        <v>17</v>
      </c>
      <c r="B20">
        <v>0</v>
      </c>
      <c r="C20">
        <v>0</v>
      </c>
      <c r="D20">
        <v>0</v>
      </c>
      <c r="E20">
        <v>0</v>
      </c>
      <c r="F20">
        <v>3</v>
      </c>
      <c r="G20">
        <v>0</v>
      </c>
      <c r="H20">
        <v>0</v>
      </c>
      <c r="I20">
        <v>9</v>
      </c>
      <c r="J20">
        <v>0</v>
      </c>
      <c r="K20">
        <v>13</v>
      </c>
    </row>
    <row r="21" spans="1:12" x14ac:dyDescent="0.2">
      <c r="A21">
        <v>18</v>
      </c>
      <c r="B21">
        <v>0</v>
      </c>
      <c r="C21">
        <v>0</v>
      </c>
      <c r="D21">
        <v>0</v>
      </c>
      <c r="E21">
        <v>0</v>
      </c>
      <c r="F21">
        <v>3</v>
      </c>
      <c r="G21">
        <v>0</v>
      </c>
      <c r="H21">
        <v>0</v>
      </c>
      <c r="I21">
        <v>15</v>
      </c>
      <c r="J21">
        <v>0</v>
      </c>
      <c r="K21">
        <v>0</v>
      </c>
    </row>
    <row r="22" spans="1:12" x14ac:dyDescent="0.2">
      <c r="A22">
        <v>19</v>
      </c>
      <c r="B22">
        <v>0</v>
      </c>
      <c r="C22">
        <v>0</v>
      </c>
      <c r="D22">
        <v>0</v>
      </c>
      <c r="E22">
        <v>0</v>
      </c>
      <c r="F22">
        <v>3</v>
      </c>
      <c r="G22">
        <v>0</v>
      </c>
      <c r="H22">
        <v>0</v>
      </c>
      <c r="I22">
        <v>15</v>
      </c>
      <c r="J22">
        <v>0</v>
      </c>
      <c r="K22">
        <v>0</v>
      </c>
    </row>
    <row r="23" spans="1:12" x14ac:dyDescent="0.2">
      <c r="A23">
        <v>20</v>
      </c>
      <c r="B23">
        <v>0</v>
      </c>
      <c r="C23">
        <v>0</v>
      </c>
      <c r="D23">
        <v>0</v>
      </c>
      <c r="E23">
        <v>0</v>
      </c>
      <c r="F23">
        <v>3</v>
      </c>
      <c r="G23">
        <v>0</v>
      </c>
      <c r="H23">
        <v>0</v>
      </c>
      <c r="I23">
        <v>13</v>
      </c>
      <c r="J23">
        <v>0</v>
      </c>
      <c r="K23">
        <v>0</v>
      </c>
    </row>
    <row r="26" spans="1:12" x14ac:dyDescent="0.2">
      <c r="B26" t="s">
        <v>11</v>
      </c>
      <c r="C26" t="s">
        <v>30</v>
      </c>
      <c r="D26" t="s">
        <v>28</v>
      </c>
      <c r="F26" t="s">
        <v>12</v>
      </c>
      <c r="G26" t="s">
        <v>30</v>
      </c>
      <c r="H26" t="s">
        <v>28</v>
      </c>
      <c r="J26" t="s">
        <v>29</v>
      </c>
      <c r="K26" t="s">
        <v>30</v>
      </c>
      <c r="L26" t="s">
        <v>28</v>
      </c>
    </row>
    <row r="27" spans="1:12" x14ac:dyDescent="0.2">
      <c r="B27">
        <v>1</v>
      </c>
      <c r="C27">
        <v>192</v>
      </c>
      <c r="F27">
        <v>1</v>
      </c>
      <c r="G27">
        <v>7</v>
      </c>
      <c r="J27">
        <v>1</v>
      </c>
      <c r="K27">
        <v>2.5702479338842976</v>
      </c>
    </row>
    <row r="28" spans="1:12" x14ac:dyDescent="0.2">
      <c r="B28">
        <v>2</v>
      </c>
      <c r="C28">
        <v>345</v>
      </c>
      <c r="D28">
        <v>320.66666666666669</v>
      </c>
      <c r="F28">
        <v>2</v>
      </c>
      <c r="G28">
        <v>5.384615384615385</v>
      </c>
      <c r="H28">
        <v>5.4358974358974352</v>
      </c>
      <c r="J28">
        <v>2</v>
      </c>
      <c r="K28">
        <v>3.6923076923076925</v>
      </c>
      <c r="L28">
        <v>3.4977749523204067</v>
      </c>
    </row>
    <row r="29" spans="1:12" x14ac:dyDescent="0.2">
      <c r="B29">
        <v>3</v>
      </c>
      <c r="C29">
        <v>425</v>
      </c>
      <c r="D29">
        <v>412.66666666666669</v>
      </c>
      <c r="F29">
        <v>3</v>
      </c>
      <c r="G29">
        <v>3.9230769230769229</v>
      </c>
      <c r="H29">
        <v>4.584045584045584</v>
      </c>
      <c r="J29">
        <v>3</v>
      </c>
      <c r="K29">
        <v>4.2307692307692308</v>
      </c>
      <c r="L29">
        <v>4.6039886039886042</v>
      </c>
    </row>
    <row r="30" spans="1:12" x14ac:dyDescent="0.2">
      <c r="B30">
        <v>4</v>
      </c>
      <c r="C30">
        <v>468</v>
      </c>
      <c r="D30">
        <v>444.66666666666669</v>
      </c>
      <c r="F30">
        <v>4</v>
      </c>
      <c r="G30">
        <v>4.4444444444444446</v>
      </c>
      <c r="H30">
        <v>3.193935693935694</v>
      </c>
      <c r="J30">
        <v>4</v>
      </c>
      <c r="K30">
        <v>5.8888888888888893</v>
      </c>
      <c r="L30">
        <v>4.7898860398860394</v>
      </c>
    </row>
    <row r="31" spans="1:12" x14ac:dyDescent="0.2">
      <c r="B31">
        <v>5</v>
      </c>
      <c r="C31">
        <v>441</v>
      </c>
      <c r="D31">
        <v>433</v>
      </c>
      <c r="F31">
        <v>5</v>
      </c>
      <c r="G31">
        <v>1.2142857142857142</v>
      </c>
      <c r="H31">
        <v>2.1481481481481484</v>
      </c>
      <c r="J31">
        <v>5</v>
      </c>
      <c r="K31">
        <v>4.25</v>
      </c>
      <c r="L31">
        <v>4.5740740740740744</v>
      </c>
    </row>
    <row r="32" spans="1:12" x14ac:dyDescent="0.2">
      <c r="B32">
        <v>6</v>
      </c>
      <c r="C32">
        <v>390</v>
      </c>
      <c r="D32">
        <v>390</v>
      </c>
      <c r="F32">
        <v>6</v>
      </c>
      <c r="G32">
        <v>0.7857142857142857</v>
      </c>
      <c r="H32">
        <v>0.91666666666666663</v>
      </c>
      <c r="J32">
        <v>6</v>
      </c>
      <c r="K32">
        <v>3.5833333333333335</v>
      </c>
      <c r="L32">
        <v>3.6414141414141419</v>
      </c>
    </row>
    <row r="33" spans="2:12" x14ac:dyDescent="0.2">
      <c r="B33">
        <v>7</v>
      </c>
      <c r="C33">
        <v>339</v>
      </c>
      <c r="D33">
        <v>342</v>
      </c>
      <c r="F33">
        <v>7</v>
      </c>
      <c r="G33">
        <v>0.75</v>
      </c>
      <c r="H33">
        <v>0.70238095238095222</v>
      </c>
      <c r="J33">
        <v>7</v>
      </c>
      <c r="K33">
        <v>3.0909090909090908</v>
      </c>
      <c r="L33">
        <v>3.0303030303030298</v>
      </c>
    </row>
    <row r="34" spans="2:12" x14ac:dyDescent="0.2">
      <c r="B34">
        <v>8</v>
      </c>
      <c r="C34">
        <v>297</v>
      </c>
      <c r="D34">
        <v>295.66666666666669</v>
      </c>
      <c r="F34">
        <v>8</v>
      </c>
      <c r="G34">
        <v>0.5714285714285714</v>
      </c>
      <c r="H34">
        <v>0.66269841269841268</v>
      </c>
      <c r="J34">
        <v>8</v>
      </c>
      <c r="K34">
        <v>2.4166666666666665</v>
      </c>
      <c r="L34">
        <v>2.4469696969696968</v>
      </c>
    </row>
    <row r="35" spans="2:12" x14ac:dyDescent="0.2">
      <c r="B35">
        <v>9</v>
      </c>
      <c r="C35">
        <v>251</v>
      </c>
      <c r="D35">
        <v>252.66666666666666</v>
      </c>
      <c r="F35">
        <v>9</v>
      </c>
      <c r="G35">
        <v>0.66666666666666663</v>
      </c>
      <c r="H35">
        <v>0.62698412698412698</v>
      </c>
      <c r="J35">
        <v>9</v>
      </c>
      <c r="K35">
        <v>1.8333333333333333</v>
      </c>
      <c r="L35">
        <v>1.8611111111111109</v>
      </c>
    </row>
    <row r="36" spans="2:12" x14ac:dyDescent="0.2">
      <c r="B36">
        <v>10</v>
      </c>
      <c r="C36">
        <v>210</v>
      </c>
      <c r="D36">
        <v>211</v>
      </c>
      <c r="F36">
        <v>10</v>
      </c>
      <c r="G36">
        <v>0.6428571428571429</v>
      </c>
      <c r="H36">
        <v>0.51058201058201058</v>
      </c>
      <c r="J36">
        <v>10</v>
      </c>
      <c r="K36">
        <v>1.3333333333333333</v>
      </c>
      <c r="L36">
        <v>1.3888888888888886</v>
      </c>
    </row>
    <row r="37" spans="2:12" x14ac:dyDescent="0.2">
      <c r="B37">
        <v>11</v>
      </c>
      <c r="C37">
        <v>172</v>
      </c>
      <c r="D37">
        <v>177</v>
      </c>
      <c r="F37">
        <v>11</v>
      </c>
      <c r="G37">
        <v>0.22222222222222221</v>
      </c>
      <c r="H37">
        <v>0.32682132682132686</v>
      </c>
      <c r="J37">
        <v>11</v>
      </c>
      <c r="K37">
        <v>1</v>
      </c>
      <c r="L37">
        <v>1.1111111111111109</v>
      </c>
    </row>
    <row r="38" spans="2:12" x14ac:dyDescent="0.2">
      <c r="B38">
        <v>12</v>
      </c>
      <c r="C38">
        <v>149</v>
      </c>
      <c r="D38">
        <v>150.66666666666666</v>
      </c>
      <c r="F38">
        <v>12</v>
      </c>
      <c r="G38">
        <v>0.11538461538461539</v>
      </c>
      <c r="H38">
        <v>0.18499938065155455</v>
      </c>
      <c r="J38">
        <v>12</v>
      </c>
      <c r="K38">
        <v>1</v>
      </c>
      <c r="L38">
        <v>1</v>
      </c>
    </row>
    <row r="39" spans="2:12" x14ac:dyDescent="0.2">
      <c r="B39">
        <v>13</v>
      </c>
      <c r="C39">
        <v>131</v>
      </c>
      <c r="D39">
        <v>129.33333333333334</v>
      </c>
      <c r="F39">
        <v>13</v>
      </c>
      <c r="G39">
        <v>0.21739130434782608</v>
      </c>
      <c r="H39">
        <v>0.14938684503901897</v>
      </c>
      <c r="J39">
        <v>13</v>
      </c>
      <c r="K39">
        <v>1</v>
      </c>
      <c r="L39">
        <v>1</v>
      </c>
    </row>
    <row r="40" spans="2:12" x14ac:dyDescent="0.2">
      <c r="B40">
        <v>14</v>
      </c>
      <c r="C40">
        <v>108</v>
      </c>
      <c r="D40">
        <v>109.33333333333333</v>
      </c>
      <c r="F40">
        <v>14</v>
      </c>
      <c r="G40">
        <v>0.11538461538461539</v>
      </c>
      <c r="H40">
        <v>0.18036975102192496</v>
      </c>
      <c r="J40">
        <v>14</v>
      </c>
      <c r="K40">
        <v>1</v>
      </c>
      <c r="L40">
        <v>1</v>
      </c>
    </row>
    <row r="41" spans="2:12" x14ac:dyDescent="0.2">
      <c r="B41">
        <v>15</v>
      </c>
      <c r="C41">
        <v>89</v>
      </c>
      <c r="D41">
        <v>87.333333333333329</v>
      </c>
      <c r="F41">
        <v>15</v>
      </c>
      <c r="G41">
        <v>0.20833333333333334</v>
      </c>
      <c r="H41">
        <v>0.13354700854700854</v>
      </c>
      <c r="J41">
        <v>15</v>
      </c>
      <c r="K41">
        <v>1</v>
      </c>
      <c r="L41">
        <v>1</v>
      </c>
    </row>
    <row r="42" spans="2:12" x14ac:dyDescent="0.2">
      <c r="B42">
        <v>16</v>
      </c>
      <c r="C42">
        <v>65</v>
      </c>
      <c r="D42">
        <v>65.666666666666671</v>
      </c>
      <c r="F42">
        <v>16</v>
      </c>
      <c r="G42">
        <v>7.6923076923076927E-2</v>
      </c>
      <c r="H42">
        <v>0.10957822370865848</v>
      </c>
      <c r="J42">
        <v>16</v>
      </c>
      <c r="K42">
        <v>1</v>
      </c>
      <c r="L42">
        <v>1</v>
      </c>
    </row>
    <row r="43" spans="2:12" x14ac:dyDescent="0.2">
      <c r="B43">
        <v>17</v>
      </c>
      <c r="C43">
        <v>43</v>
      </c>
      <c r="D43">
        <v>45.333333333333336</v>
      </c>
      <c r="F43">
        <v>17</v>
      </c>
      <c r="G43">
        <v>4.3478260869565216E-2</v>
      </c>
      <c r="H43">
        <v>6.0967112597547383E-2</v>
      </c>
      <c r="J43">
        <v>17</v>
      </c>
      <c r="K43">
        <v>1</v>
      </c>
      <c r="L43">
        <v>1</v>
      </c>
    </row>
    <row r="44" spans="2:12" x14ac:dyDescent="0.2">
      <c r="B44">
        <v>18</v>
      </c>
      <c r="C44">
        <v>28</v>
      </c>
      <c r="D44">
        <v>28</v>
      </c>
      <c r="F44">
        <v>18</v>
      </c>
      <c r="G44">
        <v>6.25E-2</v>
      </c>
      <c r="H44">
        <v>5.6159420289855072E-2</v>
      </c>
      <c r="J44">
        <v>18</v>
      </c>
      <c r="K44">
        <v>1</v>
      </c>
      <c r="L44">
        <v>1</v>
      </c>
    </row>
    <row r="45" spans="2:12" x14ac:dyDescent="0.2">
      <c r="B45">
        <v>19</v>
      </c>
      <c r="C45">
        <v>13</v>
      </c>
      <c r="D45">
        <v>13.666666666666666</v>
      </c>
      <c r="F45">
        <v>19</v>
      </c>
      <c r="G45">
        <v>6.25E-2</v>
      </c>
      <c r="H45">
        <v>6.5476190476190479E-2</v>
      </c>
      <c r="J45">
        <v>19</v>
      </c>
      <c r="K45">
        <v>1</v>
      </c>
      <c r="L45">
        <v>1</v>
      </c>
    </row>
    <row r="46" spans="2:12" x14ac:dyDescent="0.2">
      <c r="B46">
        <v>20</v>
      </c>
      <c r="C46">
        <v>0</v>
      </c>
      <c r="F46">
        <v>20</v>
      </c>
      <c r="G46">
        <v>7.1428571428571425E-2</v>
      </c>
      <c r="J46">
        <v>20</v>
      </c>
      <c r="K46">
        <v>1</v>
      </c>
    </row>
  </sheetData>
  <mergeCells count="2">
    <mergeCell ref="B1:E1"/>
    <mergeCell ref="F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EC69D-9155-7A49-8448-EC22350771BA}">
  <dimension ref="A1:K45"/>
  <sheetViews>
    <sheetView topLeftCell="A7" zoomScale="94" workbookViewId="0">
      <selection activeCell="L28" sqref="L28"/>
    </sheetView>
  </sheetViews>
  <sheetFormatPr baseColWidth="10" defaultRowHeight="15" x14ac:dyDescent="0.2"/>
  <sheetData>
    <row r="1" spans="1:11" x14ac:dyDescent="0.2">
      <c r="A1" t="s">
        <v>42</v>
      </c>
      <c r="E1" t="s">
        <v>43</v>
      </c>
      <c r="I1" t="s">
        <v>44</v>
      </c>
    </row>
    <row r="2" spans="1:11" x14ac:dyDescent="0.2">
      <c r="A2" t="s">
        <v>12</v>
      </c>
      <c r="B2" t="s">
        <v>30</v>
      </c>
      <c r="C2" t="s">
        <v>28</v>
      </c>
      <c r="E2" t="s">
        <v>12</v>
      </c>
      <c r="F2" t="s">
        <v>30</v>
      </c>
      <c r="G2" t="s">
        <v>28</v>
      </c>
      <c r="I2" t="s">
        <v>12</v>
      </c>
      <c r="J2" t="s">
        <v>30</v>
      </c>
      <c r="K2" t="s">
        <v>28</v>
      </c>
    </row>
    <row r="3" spans="1:11" x14ac:dyDescent="0.2">
      <c r="A3">
        <v>1</v>
      </c>
      <c r="B3">
        <v>3.2666666666666666</v>
      </c>
      <c r="E3">
        <v>1</v>
      </c>
      <c r="F3">
        <v>2.8823529411764706</v>
      </c>
      <c r="I3">
        <v>1</v>
      </c>
      <c r="J3">
        <v>7</v>
      </c>
    </row>
    <row r="4" spans="1:11" x14ac:dyDescent="0.2">
      <c r="A4">
        <v>2</v>
      </c>
      <c r="B4">
        <v>2.8666666666666667</v>
      </c>
      <c r="C4">
        <v>2.7777777777777772</v>
      </c>
      <c r="E4">
        <v>2</v>
      </c>
      <c r="F4">
        <v>2.15</v>
      </c>
      <c r="G4">
        <v>2.2885620915032678</v>
      </c>
      <c r="I4">
        <v>2</v>
      </c>
      <c r="J4">
        <v>5.384615384615385</v>
      </c>
      <c r="K4">
        <v>5.4358974358974352</v>
      </c>
    </row>
    <row r="5" spans="1:11" x14ac:dyDescent="0.2">
      <c r="A5">
        <v>3</v>
      </c>
      <c r="B5">
        <v>2.2000000000000002</v>
      </c>
      <c r="C5">
        <v>2.3555555555555556</v>
      </c>
      <c r="E5">
        <v>3</v>
      </c>
      <c r="F5">
        <v>1.8333333333333333</v>
      </c>
      <c r="G5">
        <v>1.95</v>
      </c>
      <c r="I5">
        <v>3</v>
      </c>
      <c r="J5">
        <v>3.9230769230769229</v>
      </c>
      <c r="K5">
        <v>4.584045584045584</v>
      </c>
    </row>
    <row r="6" spans="1:11" x14ac:dyDescent="0.2">
      <c r="A6">
        <v>4</v>
      </c>
      <c r="B6">
        <v>2</v>
      </c>
      <c r="C6">
        <v>1.9714285714285715</v>
      </c>
      <c r="E6">
        <v>4</v>
      </c>
      <c r="F6">
        <v>1.8666666666666667</v>
      </c>
      <c r="G6">
        <v>1.6333333333333335</v>
      </c>
      <c r="I6">
        <v>4</v>
      </c>
      <c r="J6">
        <v>4.4444444444444446</v>
      </c>
      <c r="K6">
        <v>3.193935693935694</v>
      </c>
    </row>
    <row r="7" spans="1:11" x14ac:dyDescent="0.2">
      <c r="A7">
        <v>5</v>
      </c>
      <c r="B7">
        <v>1.7142857142857142</v>
      </c>
      <c r="C7">
        <v>1.7714285714285716</v>
      </c>
      <c r="E7">
        <v>5</v>
      </c>
      <c r="F7">
        <v>1.2</v>
      </c>
      <c r="G7">
        <v>1.5936507936507935</v>
      </c>
      <c r="I7">
        <v>5</v>
      </c>
      <c r="J7">
        <v>1.2142857142857142</v>
      </c>
      <c r="K7">
        <v>2.1481481481481484</v>
      </c>
    </row>
    <row r="8" spans="1:11" x14ac:dyDescent="0.2">
      <c r="A8">
        <v>6</v>
      </c>
      <c r="B8">
        <v>1.6</v>
      </c>
      <c r="C8">
        <v>1.549206349206349</v>
      </c>
      <c r="E8">
        <v>6</v>
      </c>
      <c r="F8">
        <v>1.7142857142857142</v>
      </c>
      <c r="G8">
        <v>1.3047619047619048</v>
      </c>
      <c r="I8">
        <v>6</v>
      </c>
      <c r="J8">
        <v>0.7857142857142857</v>
      </c>
      <c r="K8">
        <v>0.91666666666666663</v>
      </c>
    </row>
    <row r="9" spans="1:11" x14ac:dyDescent="0.2">
      <c r="A9">
        <v>7</v>
      </c>
      <c r="B9">
        <v>1.3333333333333333</v>
      </c>
      <c r="C9">
        <v>1.3825396825396827</v>
      </c>
      <c r="E9">
        <v>7</v>
      </c>
      <c r="F9">
        <v>1</v>
      </c>
      <c r="G9">
        <v>1.2380952380952381</v>
      </c>
      <c r="I9">
        <v>7</v>
      </c>
      <c r="J9">
        <v>0.75</v>
      </c>
      <c r="K9">
        <v>0.70238095238095222</v>
      </c>
    </row>
    <row r="10" spans="1:11" x14ac:dyDescent="0.2">
      <c r="A10">
        <v>8</v>
      </c>
      <c r="B10">
        <v>1.2142857142857142</v>
      </c>
      <c r="C10">
        <v>1.1825396825396826</v>
      </c>
      <c r="E10">
        <v>8</v>
      </c>
      <c r="F10">
        <v>1</v>
      </c>
      <c r="G10">
        <v>0.97777777777777786</v>
      </c>
      <c r="I10">
        <v>8</v>
      </c>
      <c r="J10">
        <v>0.5714285714285714</v>
      </c>
      <c r="K10">
        <v>0.66269841269841268</v>
      </c>
    </row>
    <row r="11" spans="1:11" x14ac:dyDescent="0.2">
      <c r="A11">
        <v>9</v>
      </c>
      <c r="B11">
        <v>1</v>
      </c>
      <c r="C11">
        <v>0.9825396825396826</v>
      </c>
      <c r="E11">
        <v>9</v>
      </c>
      <c r="F11">
        <v>0.93333333333333335</v>
      </c>
      <c r="G11">
        <v>0.8481481481481481</v>
      </c>
      <c r="I11">
        <v>9</v>
      </c>
      <c r="J11">
        <v>0.66666666666666663</v>
      </c>
      <c r="K11">
        <v>0.62698412698412698</v>
      </c>
    </row>
    <row r="12" spans="1:11" x14ac:dyDescent="0.2">
      <c r="A12">
        <v>10</v>
      </c>
      <c r="B12">
        <v>0.73333333333333328</v>
      </c>
      <c r="C12">
        <v>0.77777777777777779</v>
      </c>
      <c r="E12">
        <v>10</v>
      </c>
      <c r="F12">
        <v>0.61111111111111116</v>
      </c>
      <c r="G12">
        <v>0.72910052910052914</v>
      </c>
      <c r="I12">
        <v>10</v>
      </c>
      <c r="J12">
        <v>0.6428571428571429</v>
      </c>
      <c r="K12">
        <v>0.51058201058201058</v>
      </c>
    </row>
    <row r="13" spans="1:11" x14ac:dyDescent="0.2">
      <c r="A13">
        <v>11</v>
      </c>
      <c r="B13">
        <v>0.6</v>
      </c>
      <c r="C13">
        <v>0.57777777777777783</v>
      </c>
      <c r="E13">
        <v>11</v>
      </c>
      <c r="F13">
        <v>0.6428571428571429</v>
      </c>
      <c r="G13">
        <v>0.544973544973545</v>
      </c>
      <c r="I13">
        <v>11</v>
      </c>
      <c r="J13">
        <v>0.22222222222222221</v>
      </c>
      <c r="K13">
        <v>0.32682132682132686</v>
      </c>
    </row>
    <row r="14" spans="1:11" x14ac:dyDescent="0.2">
      <c r="A14">
        <v>12</v>
      </c>
      <c r="B14">
        <v>0.4</v>
      </c>
      <c r="C14">
        <v>0.46031746031746029</v>
      </c>
      <c r="E14">
        <v>12</v>
      </c>
      <c r="F14">
        <v>0.38095238095238093</v>
      </c>
      <c r="G14">
        <v>0.4682539682539682</v>
      </c>
      <c r="I14">
        <v>12</v>
      </c>
      <c r="J14">
        <v>0.11538461538461539</v>
      </c>
      <c r="K14">
        <v>0.18499938065155455</v>
      </c>
    </row>
    <row r="15" spans="1:11" x14ac:dyDescent="0.2">
      <c r="A15">
        <v>13</v>
      </c>
      <c r="B15">
        <v>0.38095238095238093</v>
      </c>
      <c r="C15">
        <v>0.40317460317460313</v>
      </c>
      <c r="E15">
        <v>13</v>
      </c>
      <c r="F15">
        <v>0.38095238095238093</v>
      </c>
      <c r="G15">
        <v>0.42063492063492064</v>
      </c>
      <c r="I15">
        <v>13</v>
      </c>
      <c r="J15">
        <v>0.21739130434782608</v>
      </c>
      <c r="K15">
        <v>0.14938684503901897</v>
      </c>
    </row>
    <row r="16" spans="1:11" x14ac:dyDescent="0.2">
      <c r="A16">
        <v>14</v>
      </c>
      <c r="B16">
        <v>0.42857142857142855</v>
      </c>
      <c r="C16">
        <v>0.32781228433402348</v>
      </c>
      <c r="E16">
        <v>14</v>
      </c>
      <c r="F16">
        <v>0.5</v>
      </c>
      <c r="G16">
        <v>0.36031746031746031</v>
      </c>
      <c r="I16">
        <v>14</v>
      </c>
      <c r="J16">
        <v>0.11538461538461539</v>
      </c>
      <c r="K16">
        <v>0.18036975102192496</v>
      </c>
    </row>
    <row r="17" spans="1:11" x14ac:dyDescent="0.2">
      <c r="A17">
        <v>15</v>
      </c>
      <c r="B17">
        <v>0.17391304347826086</v>
      </c>
      <c r="C17">
        <v>0.23928969581143492</v>
      </c>
      <c r="E17">
        <v>15</v>
      </c>
      <c r="F17">
        <v>0.2</v>
      </c>
      <c r="G17">
        <v>0.29215686274509806</v>
      </c>
      <c r="I17">
        <v>15</v>
      </c>
      <c r="J17">
        <v>0.20833333333333334</v>
      </c>
      <c r="K17">
        <v>0.13354700854700854</v>
      </c>
    </row>
    <row r="18" spans="1:11" x14ac:dyDescent="0.2">
      <c r="A18">
        <v>16</v>
      </c>
      <c r="B18">
        <v>0.11538461538461539</v>
      </c>
      <c r="C18">
        <v>0.17976588628762544</v>
      </c>
      <c r="E18">
        <v>16</v>
      </c>
      <c r="F18">
        <v>0.17647058823529413</v>
      </c>
      <c r="G18">
        <v>0.22352941176470589</v>
      </c>
      <c r="I18">
        <v>16</v>
      </c>
      <c r="J18">
        <v>7.6923076923076927E-2</v>
      </c>
      <c r="K18">
        <v>0.10957822370865848</v>
      </c>
    </row>
    <row r="19" spans="1:11" x14ac:dyDescent="0.2">
      <c r="A19">
        <v>17</v>
      </c>
      <c r="B19">
        <v>0.25</v>
      </c>
      <c r="C19">
        <v>0.17179487179487182</v>
      </c>
      <c r="E19">
        <v>17</v>
      </c>
      <c r="F19">
        <v>0.29411764705882354</v>
      </c>
      <c r="G19">
        <v>0.25686274509803919</v>
      </c>
      <c r="I19">
        <v>17</v>
      </c>
      <c r="J19">
        <v>4.3478260869565216E-2</v>
      </c>
      <c r="K19">
        <v>6.0967112597547383E-2</v>
      </c>
    </row>
    <row r="20" spans="1:11" x14ac:dyDescent="0.2">
      <c r="A20">
        <v>18</v>
      </c>
      <c r="B20">
        <v>0.15</v>
      </c>
      <c r="C20">
        <v>0.46666666666666662</v>
      </c>
      <c r="E20">
        <v>18</v>
      </c>
      <c r="F20">
        <v>0.3</v>
      </c>
      <c r="G20">
        <v>0.53137254901960784</v>
      </c>
      <c r="I20">
        <v>18</v>
      </c>
      <c r="J20">
        <v>6.25E-2</v>
      </c>
      <c r="K20">
        <v>5.6159420289855072E-2</v>
      </c>
    </row>
    <row r="21" spans="1:11" x14ac:dyDescent="0.2">
      <c r="A21">
        <v>19</v>
      </c>
      <c r="B21">
        <v>1</v>
      </c>
      <c r="C21">
        <v>0.71666666666666667</v>
      </c>
      <c r="E21">
        <v>19</v>
      </c>
      <c r="F21">
        <v>1</v>
      </c>
      <c r="G21">
        <v>0.76666666666666661</v>
      </c>
      <c r="I21">
        <v>19</v>
      </c>
      <c r="J21">
        <v>6.25E-2</v>
      </c>
      <c r="K21">
        <v>6.5476190476190479E-2</v>
      </c>
    </row>
    <row r="22" spans="1:11" x14ac:dyDescent="0.2">
      <c r="A22">
        <v>20</v>
      </c>
      <c r="B22">
        <v>1</v>
      </c>
      <c r="E22">
        <v>20</v>
      </c>
      <c r="F22">
        <v>1</v>
      </c>
      <c r="I22">
        <v>20</v>
      </c>
      <c r="J22">
        <v>7.1428571428571425E-2</v>
      </c>
    </row>
    <row r="25" spans="1:11" x14ac:dyDescent="0.2">
      <c r="B25" t="s">
        <v>42</v>
      </c>
      <c r="C25" t="s">
        <v>44</v>
      </c>
      <c r="D25" t="s">
        <v>45</v>
      </c>
    </row>
    <row r="26" spans="1:11" x14ac:dyDescent="0.2">
      <c r="B26">
        <v>3.2666666666666666</v>
      </c>
      <c r="C26">
        <v>7</v>
      </c>
      <c r="D26">
        <v>2.8823529411764706</v>
      </c>
    </row>
    <row r="27" spans="1:11" x14ac:dyDescent="0.2">
      <c r="B27">
        <v>2.8666666666666667</v>
      </c>
      <c r="C27">
        <v>5.384615384615385</v>
      </c>
      <c r="D27">
        <v>2.15</v>
      </c>
    </row>
    <row r="28" spans="1:11" x14ac:dyDescent="0.2">
      <c r="B28">
        <v>2.2000000000000002</v>
      </c>
      <c r="C28">
        <v>3.9230769230769229</v>
      </c>
      <c r="D28">
        <v>1.8333333333333333</v>
      </c>
    </row>
    <row r="29" spans="1:11" x14ac:dyDescent="0.2">
      <c r="B29">
        <v>2</v>
      </c>
      <c r="C29">
        <v>4.4444444444444446</v>
      </c>
      <c r="D29">
        <v>1.8666666666666667</v>
      </c>
    </row>
    <row r="30" spans="1:11" x14ac:dyDescent="0.2">
      <c r="B30">
        <v>1.7142857142857142</v>
      </c>
      <c r="C30">
        <v>1.2142857142857142</v>
      </c>
      <c r="D30">
        <v>1.2</v>
      </c>
    </row>
    <row r="31" spans="1:11" x14ac:dyDescent="0.2">
      <c r="B31">
        <v>1.6</v>
      </c>
      <c r="C31">
        <v>0.7857142857142857</v>
      </c>
      <c r="D31">
        <v>1.7142857142857142</v>
      </c>
    </row>
    <row r="32" spans="1:11" x14ac:dyDescent="0.2">
      <c r="B32">
        <v>1.3333333333333333</v>
      </c>
      <c r="C32">
        <v>0.75</v>
      </c>
      <c r="D32">
        <v>1</v>
      </c>
    </row>
    <row r="33" spans="2:4" x14ac:dyDescent="0.2">
      <c r="B33">
        <v>1.2142857142857142</v>
      </c>
      <c r="C33">
        <v>0.5714285714285714</v>
      </c>
      <c r="D33">
        <v>1</v>
      </c>
    </row>
    <row r="34" spans="2:4" x14ac:dyDescent="0.2">
      <c r="B34">
        <v>1</v>
      </c>
      <c r="C34">
        <v>0.66666666666666663</v>
      </c>
      <c r="D34">
        <v>0.93333333333333335</v>
      </c>
    </row>
    <row r="35" spans="2:4" x14ac:dyDescent="0.2">
      <c r="B35">
        <v>0.73333333333333328</v>
      </c>
      <c r="C35">
        <v>0.6428571428571429</v>
      </c>
      <c r="D35">
        <v>0.61111111111111116</v>
      </c>
    </row>
    <row r="36" spans="2:4" x14ac:dyDescent="0.2">
      <c r="B36">
        <v>0.6</v>
      </c>
      <c r="C36">
        <v>0.22222222222222221</v>
      </c>
      <c r="D36">
        <v>0.6428571428571429</v>
      </c>
    </row>
    <row r="37" spans="2:4" x14ac:dyDescent="0.2">
      <c r="B37">
        <v>0.4</v>
      </c>
      <c r="C37">
        <v>0.11538461538461539</v>
      </c>
      <c r="D37">
        <v>0.38095238095238093</v>
      </c>
    </row>
    <row r="38" spans="2:4" x14ac:dyDescent="0.2">
      <c r="B38">
        <v>0.38095238095238093</v>
      </c>
      <c r="C38">
        <v>0.21739130434782608</v>
      </c>
      <c r="D38">
        <v>0.38095238095238093</v>
      </c>
    </row>
    <row r="39" spans="2:4" x14ac:dyDescent="0.2">
      <c r="B39">
        <v>0.42857142857142855</v>
      </c>
      <c r="C39">
        <v>0.11538461538461539</v>
      </c>
      <c r="D39">
        <v>0.5</v>
      </c>
    </row>
    <row r="40" spans="2:4" x14ac:dyDescent="0.2">
      <c r="B40">
        <v>0.17391304347826086</v>
      </c>
      <c r="C40">
        <v>0.20833333333333334</v>
      </c>
      <c r="D40">
        <v>0.2</v>
      </c>
    </row>
    <row r="41" spans="2:4" x14ac:dyDescent="0.2">
      <c r="B41">
        <v>0.11538461538461539</v>
      </c>
      <c r="C41">
        <v>7.6923076923076927E-2</v>
      </c>
      <c r="D41">
        <v>0.17647058823529413</v>
      </c>
    </row>
    <row r="42" spans="2:4" x14ac:dyDescent="0.2">
      <c r="B42">
        <v>0.25</v>
      </c>
      <c r="C42">
        <v>4.3478260869565216E-2</v>
      </c>
      <c r="D42">
        <v>0.29411764705882354</v>
      </c>
    </row>
    <row r="43" spans="2:4" x14ac:dyDescent="0.2">
      <c r="B43">
        <v>0.15</v>
      </c>
      <c r="C43">
        <v>6.25E-2</v>
      </c>
      <c r="D43">
        <v>0.3</v>
      </c>
    </row>
    <row r="44" spans="2:4" x14ac:dyDescent="0.2">
      <c r="B44">
        <v>1</v>
      </c>
      <c r="C44">
        <v>6.25E-2</v>
      </c>
      <c r="D44">
        <v>1</v>
      </c>
    </row>
    <row r="45" spans="2:4" x14ac:dyDescent="0.2">
      <c r="B45">
        <v>1</v>
      </c>
      <c r="C45">
        <v>7.1428571428571425E-2</v>
      </c>
      <c r="D45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1715D-C33C-5D42-9E68-3849F1DF636C}">
  <dimension ref="A1:K45"/>
  <sheetViews>
    <sheetView topLeftCell="A17" workbookViewId="0">
      <selection activeCell="H24" sqref="H24"/>
    </sheetView>
  </sheetViews>
  <sheetFormatPr baseColWidth="10" defaultRowHeight="15" x14ac:dyDescent="0.2"/>
  <sheetData>
    <row r="1" spans="1:11" x14ac:dyDescent="0.2">
      <c r="A1" t="s">
        <v>42</v>
      </c>
      <c r="E1" t="s">
        <v>43</v>
      </c>
      <c r="I1" t="s">
        <v>44</v>
      </c>
    </row>
    <row r="2" spans="1:11" x14ac:dyDescent="0.2">
      <c r="A2" t="s">
        <v>11</v>
      </c>
      <c r="B2" t="s">
        <v>30</v>
      </c>
      <c r="C2" t="s">
        <v>28</v>
      </c>
      <c r="E2" t="s">
        <v>11</v>
      </c>
      <c r="F2" t="s">
        <v>30</v>
      </c>
      <c r="G2" t="s">
        <v>28</v>
      </c>
      <c r="I2" t="s">
        <v>11</v>
      </c>
      <c r="J2" t="s">
        <v>30</v>
      </c>
      <c r="K2" t="s">
        <v>28</v>
      </c>
    </row>
    <row r="3" spans="1:11" x14ac:dyDescent="0.2">
      <c r="A3">
        <v>1</v>
      </c>
      <c r="B3">
        <v>106</v>
      </c>
      <c r="E3">
        <v>1</v>
      </c>
      <c r="F3">
        <v>56</v>
      </c>
      <c r="I3">
        <v>1</v>
      </c>
      <c r="J3">
        <v>192</v>
      </c>
    </row>
    <row r="4" spans="1:11" x14ac:dyDescent="0.2">
      <c r="A4">
        <v>2</v>
      </c>
      <c r="B4">
        <v>176</v>
      </c>
      <c r="C4">
        <v>160.66666666666666</v>
      </c>
      <c r="E4">
        <v>2</v>
      </c>
      <c r="F4">
        <v>133</v>
      </c>
      <c r="G4">
        <v>126.33333333333333</v>
      </c>
      <c r="I4">
        <v>2</v>
      </c>
      <c r="J4">
        <v>345</v>
      </c>
      <c r="K4">
        <v>320.66666666666669</v>
      </c>
    </row>
    <row r="5" spans="1:11" x14ac:dyDescent="0.2">
      <c r="A5">
        <v>3</v>
      </c>
      <c r="B5">
        <v>200</v>
      </c>
      <c r="C5">
        <v>204.66666666666666</v>
      </c>
      <c r="E5">
        <v>3</v>
      </c>
      <c r="F5">
        <v>190</v>
      </c>
      <c r="G5">
        <v>187.33333333333334</v>
      </c>
      <c r="I5">
        <v>3</v>
      </c>
      <c r="J5">
        <v>425</v>
      </c>
      <c r="K5">
        <v>412.66666666666669</v>
      </c>
    </row>
    <row r="6" spans="1:11" x14ac:dyDescent="0.2">
      <c r="A6">
        <v>4</v>
      </c>
      <c r="B6">
        <v>238</v>
      </c>
      <c r="C6">
        <v>222.66666666666666</v>
      </c>
      <c r="E6">
        <v>4</v>
      </c>
      <c r="F6">
        <v>239</v>
      </c>
      <c r="G6">
        <v>230</v>
      </c>
      <c r="I6">
        <v>4</v>
      </c>
      <c r="J6">
        <v>468</v>
      </c>
      <c r="K6">
        <v>444.66666666666669</v>
      </c>
    </row>
    <row r="7" spans="1:11" x14ac:dyDescent="0.2">
      <c r="A7">
        <v>5</v>
      </c>
      <c r="B7">
        <v>230</v>
      </c>
      <c r="C7">
        <v>231.66666666666666</v>
      </c>
      <c r="E7">
        <v>5</v>
      </c>
      <c r="F7">
        <v>261</v>
      </c>
      <c r="G7">
        <v>253</v>
      </c>
      <c r="I7">
        <v>5</v>
      </c>
      <c r="J7">
        <v>441</v>
      </c>
      <c r="K7">
        <v>433</v>
      </c>
    </row>
    <row r="8" spans="1:11" x14ac:dyDescent="0.2">
      <c r="A8">
        <v>6</v>
      </c>
      <c r="B8">
        <v>227</v>
      </c>
      <c r="C8">
        <v>217.66666666666666</v>
      </c>
      <c r="E8">
        <v>6</v>
      </c>
      <c r="F8">
        <v>259</v>
      </c>
      <c r="G8">
        <v>255.66666666666666</v>
      </c>
      <c r="I8">
        <v>6</v>
      </c>
      <c r="J8">
        <v>390</v>
      </c>
      <c r="K8">
        <v>390</v>
      </c>
    </row>
    <row r="9" spans="1:11" x14ac:dyDescent="0.2">
      <c r="A9">
        <v>7</v>
      </c>
      <c r="B9">
        <v>196</v>
      </c>
      <c r="C9">
        <v>201.33333333333334</v>
      </c>
      <c r="E9">
        <v>7</v>
      </c>
      <c r="F9">
        <v>247</v>
      </c>
      <c r="G9">
        <v>245</v>
      </c>
      <c r="I9">
        <v>7</v>
      </c>
      <c r="J9">
        <v>339</v>
      </c>
      <c r="K9">
        <v>342</v>
      </c>
    </row>
    <row r="10" spans="1:11" x14ac:dyDescent="0.2">
      <c r="A10">
        <v>8</v>
      </c>
      <c r="B10">
        <v>181</v>
      </c>
      <c r="C10">
        <v>178</v>
      </c>
      <c r="E10">
        <v>8</v>
      </c>
      <c r="F10">
        <v>229</v>
      </c>
      <c r="G10">
        <v>224.66666666666666</v>
      </c>
      <c r="I10">
        <v>8</v>
      </c>
      <c r="J10">
        <v>297</v>
      </c>
      <c r="K10">
        <v>295.66666666666669</v>
      </c>
    </row>
    <row r="11" spans="1:11" x14ac:dyDescent="0.2">
      <c r="A11">
        <v>9</v>
      </c>
      <c r="B11">
        <v>157</v>
      </c>
      <c r="C11">
        <v>161.66666666666666</v>
      </c>
      <c r="E11">
        <v>9</v>
      </c>
      <c r="F11">
        <v>198</v>
      </c>
      <c r="G11">
        <v>206</v>
      </c>
      <c r="I11">
        <v>9</v>
      </c>
      <c r="J11">
        <v>251</v>
      </c>
      <c r="K11">
        <v>252.66666666666666</v>
      </c>
    </row>
    <row r="12" spans="1:11" x14ac:dyDescent="0.2">
      <c r="A12">
        <v>10</v>
      </c>
      <c r="B12">
        <v>147</v>
      </c>
      <c r="C12">
        <v>142.33333333333334</v>
      </c>
      <c r="E12">
        <v>10</v>
      </c>
      <c r="F12">
        <v>191</v>
      </c>
      <c r="G12">
        <v>187.66666666666666</v>
      </c>
      <c r="I12">
        <v>10</v>
      </c>
      <c r="J12">
        <v>210</v>
      </c>
      <c r="K12">
        <v>211</v>
      </c>
    </row>
    <row r="13" spans="1:11" x14ac:dyDescent="0.2">
      <c r="A13">
        <v>11</v>
      </c>
      <c r="B13">
        <v>123</v>
      </c>
      <c r="C13">
        <v>123</v>
      </c>
      <c r="E13">
        <v>11</v>
      </c>
      <c r="F13">
        <v>174</v>
      </c>
      <c r="G13">
        <v>183.33333333333334</v>
      </c>
      <c r="I13">
        <v>11</v>
      </c>
      <c r="J13">
        <v>172</v>
      </c>
      <c r="K13">
        <v>177</v>
      </c>
    </row>
    <row r="14" spans="1:11" x14ac:dyDescent="0.2">
      <c r="A14">
        <v>12</v>
      </c>
      <c r="B14">
        <v>99</v>
      </c>
      <c r="C14">
        <v>102.66666666666667</v>
      </c>
      <c r="E14">
        <v>12</v>
      </c>
      <c r="F14">
        <v>185</v>
      </c>
      <c r="G14">
        <v>177</v>
      </c>
      <c r="I14">
        <v>12</v>
      </c>
      <c r="J14">
        <v>149</v>
      </c>
      <c r="K14">
        <v>150.66666666666666</v>
      </c>
    </row>
    <row r="15" spans="1:11" x14ac:dyDescent="0.2">
      <c r="A15">
        <v>13</v>
      </c>
      <c r="B15">
        <v>86</v>
      </c>
      <c r="C15">
        <v>86.333333333333329</v>
      </c>
      <c r="E15">
        <v>13</v>
      </c>
      <c r="F15">
        <v>172</v>
      </c>
      <c r="G15">
        <v>173.33333333333334</v>
      </c>
      <c r="I15">
        <v>13</v>
      </c>
      <c r="J15">
        <v>131</v>
      </c>
      <c r="K15">
        <v>129.33333333333334</v>
      </c>
    </row>
    <row r="16" spans="1:11" x14ac:dyDescent="0.2">
      <c r="A16">
        <v>14</v>
      </c>
      <c r="B16">
        <v>74</v>
      </c>
      <c r="C16">
        <v>71.666666666666671</v>
      </c>
      <c r="E16">
        <v>14</v>
      </c>
      <c r="F16">
        <v>163</v>
      </c>
      <c r="G16">
        <v>154.66666666666666</v>
      </c>
      <c r="I16">
        <v>14</v>
      </c>
      <c r="J16">
        <v>108</v>
      </c>
      <c r="K16">
        <v>109.33333333333333</v>
      </c>
    </row>
    <row r="17" spans="1:11" x14ac:dyDescent="0.2">
      <c r="A17">
        <v>15</v>
      </c>
      <c r="B17">
        <v>55</v>
      </c>
      <c r="C17">
        <v>53.666666666666664</v>
      </c>
      <c r="E17">
        <v>15</v>
      </c>
      <c r="F17">
        <v>129</v>
      </c>
      <c r="G17">
        <v>123.66666666666667</v>
      </c>
      <c r="I17">
        <v>15</v>
      </c>
      <c r="J17">
        <v>89</v>
      </c>
      <c r="K17">
        <v>87.333333333333329</v>
      </c>
    </row>
    <row r="18" spans="1:11" x14ac:dyDescent="0.2">
      <c r="A18">
        <v>16</v>
      </c>
      <c r="B18">
        <v>32</v>
      </c>
      <c r="C18">
        <v>34.666666666666664</v>
      </c>
      <c r="E18">
        <v>16</v>
      </c>
      <c r="F18">
        <v>79</v>
      </c>
      <c r="G18">
        <v>77.666666666666671</v>
      </c>
      <c r="I18">
        <v>16</v>
      </c>
      <c r="J18">
        <v>65</v>
      </c>
      <c r="K18">
        <v>65.666666666666671</v>
      </c>
    </row>
    <row r="19" spans="1:11" x14ac:dyDescent="0.2">
      <c r="A19">
        <v>17</v>
      </c>
      <c r="B19">
        <v>17</v>
      </c>
      <c r="C19">
        <v>16.333333333333332</v>
      </c>
      <c r="E19">
        <v>17</v>
      </c>
      <c r="F19">
        <v>25</v>
      </c>
      <c r="G19">
        <v>34.666666666666664</v>
      </c>
      <c r="I19">
        <v>17</v>
      </c>
      <c r="J19">
        <v>43</v>
      </c>
      <c r="K19">
        <v>45.333333333333336</v>
      </c>
    </row>
    <row r="20" spans="1:11" x14ac:dyDescent="0.2">
      <c r="A20">
        <v>18</v>
      </c>
      <c r="B20">
        <v>0</v>
      </c>
      <c r="C20">
        <v>5.666666666666667</v>
      </c>
      <c r="E20">
        <v>18</v>
      </c>
      <c r="F20">
        <v>0</v>
      </c>
      <c r="G20">
        <v>8.3333333333333339</v>
      </c>
      <c r="I20">
        <v>18</v>
      </c>
      <c r="J20">
        <v>28</v>
      </c>
      <c r="K20">
        <v>28</v>
      </c>
    </row>
    <row r="21" spans="1:11" x14ac:dyDescent="0.2">
      <c r="A21">
        <v>19</v>
      </c>
      <c r="B21">
        <v>0</v>
      </c>
      <c r="C21">
        <v>0</v>
      </c>
      <c r="E21">
        <v>19</v>
      </c>
      <c r="F21">
        <v>0</v>
      </c>
      <c r="G21">
        <v>0</v>
      </c>
      <c r="I21">
        <v>19</v>
      </c>
      <c r="J21">
        <v>13</v>
      </c>
      <c r="K21">
        <v>13.666666666666666</v>
      </c>
    </row>
    <row r="22" spans="1:11" x14ac:dyDescent="0.2">
      <c r="A22">
        <v>20</v>
      </c>
      <c r="B22">
        <v>0</v>
      </c>
      <c r="E22">
        <v>20</v>
      </c>
      <c r="F22">
        <v>0</v>
      </c>
      <c r="I22">
        <v>20</v>
      </c>
      <c r="J22">
        <v>0</v>
      </c>
    </row>
    <row r="25" spans="1:11" x14ac:dyDescent="0.2">
      <c r="B25" t="s">
        <v>42</v>
      </c>
      <c r="C25" t="s">
        <v>43</v>
      </c>
      <c r="D25" t="s">
        <v>44</v>
      </c>
    </row>
    <row r="26" spans="1:11" x14ac:dyDescent="0.2">
      <c r="B26">
        <v>106</v>
      </c>
      <c r="C26">
        <v>56</v>
      </c>
      <c r="D26">
        <v>192</v>
      </c>
    </row>
    <row r="27" spans="1:11" x14ac:dyDescent="0.2">
      <c r="B27">
        <v>176</v>
      </c>
      <c r="C27">
        <v>133</v>
      </c>
      <c r="D27">
        <v>345</v>
      </c>
    </row>
    <row r="28" spans="1:11" x14ac:dyDescent="0.2">
      <c r="B28">
        <v>200</v>
      </c>
      <c r="C28">
        <v>190</v>
      </c>
      <c r="D28">
        <v>425</v>
      </c>
    </row>
    <row r="29" spans="1:11" x14ac:dyDescent="0.2">
      <c r="B29">
        <v>238</v>
      </c>
      <c r="C29">
        <v>239</v>
      </c>
      <c r="D29">
        <v>468</v>
      </c>
    </row>
    <row r="30" spans="1:11" x14ac:dyDescent="0.2">
      <c r="B30">
        <v>230</v>
      </c>
      <c r="C30">
        <v>261</v>
      </c>
      <c r="D30">
        <v>441</v>
      </c>
    </row>
    <row r="31" spans="1:11" x14ac:dyDescent="0.2">
      <c r="B31">
        <v>227</v>
      </c>
      <c r="C31">
        <v>259</v>
      </c>
      <c r="D31">
        <v>390</v>
      </c>
    </row>
    <row r="32" spans="1:11" x14ac:dyDescent="0.2">
      <c r="B32">
        <v>196</v>
      </c>
      <c r="C32">
        <v>247</v>
      </c>
      <c r="D32">
        <v>339</v>
      </c>
    </row>
    <row r="33" spans="2:4" x14ac:dyDescent="0.2">
      <c r="B33">
        <v>181</v>
      </c>
      <c r="C33">
        <v>229</v>
      </c>
      <c r="D33">
        <v>297</v>
      </c>
    </row>
    <row r="34" spans="2:4" x14ac:dyDescent="0.2">
      <c r="B34">
        <v>157</v>
      </c>
      <c r="C34">
        <v>198</v>
      </c>
      <c r="D34">
        <v>251</v>
      </c>
    </row>
    <row r="35" spans="2:4" x14ac:dyDescent="0.2">
      <c r="B35">
        <v>147</v>
      </c>
      <c r="C35">
        <v>191</v>
      </c>
      <c r="D35">
        <v>210</v>
      </c>
    </row>
    <row r="36" spans="2:4" x14ac:dyDescent="0.2">
      <c r="B36">
        <v>123</v>
      </c>
      <c r="C36">
        <v>174</v>
      </c>
      <c r="D36">
        <v>172</v>
      </c>
    </row>
    <row r="37" spans="2:4" x14ac:dyDescent="0.2">
      <c r="B37">
        <v>99</v>
      </c>
      <c r="C37">
        <v>185</v>
      </c>
      <c r="D37">
        <v>149</v>
      </c>
    </row>
    <row r="38" spans="2:4" x14ac:dyDescent="0.2">
      <c r="B38">
        <v>86</v>
      </c>
      <c r="C38">
        <v>172</v>
      </c>
      <c r="D38">
        <v>131</v>
      </c>
    </row>
    <row r="39" spans="2:4" x14ac:dyDescent="0.2">
      <c r="B39">
        <v>74</v>
      </c>
      <c r="C39">
        <v>163</v>
      </c>
      <c r="D39">
        <v>108</v>
      </c>
    </row>
    <row r="40" spans="2:4" x14ac:dyDescent="0.2">
      <c r="B40">
        <v>55</v>
      </c>
      <c r="C40">
        <v>129</v>
      </c>
      <c r="D40">
        <v>89</v>
      </c>
    </row>
    <row r="41" spans="2:4" x14ac:dyDescent="0.2">
      <c r="B41">
        <v>32</v>
      </c>
      <c r="C41">
        <v>79</v>
      </c>
      <c r="D41">
        <v>65</v>
      </c>
    </row>
    <row r="42" spans="2:4" x14ac:dyDescent="0.2">
      <c r="B42">
        <v>17</v>
      </c>
      <c r="C42">
        <v>25</v>
      </c>
      <c r="D42">
        <v>43</v>
      </c>
    </row>
    <row r="43" spans="2:4" x14ac:dyDescent="0.2">
      <c r="B43">
        <v>0</v>
      </c>
      <c r="C43">
        <v>0</v>
      </c>
      <c r="D43">
        <v>28</v>
      </c>
    </row>
    <row r="44" spans="2:4" x14ac:dyDescent="0.2">
      <c r="B44">
        <v>0</v>
      </c>
      <c r="C44">
        <v>0</v>
      </c>
      <c r="D44">
        <v>13</v>
      </c>
    </row>
    <row r="45" spans="2:4" x14ac:dyDescent="0.2">
      <c r="B45">
        <v>0</v>
      </c>
      <c r="C45">
        <v>0</v>
      </c>
      <c r="D45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6D6A1-8CCC-4A45-8A59-81289FD5D8C9}">
  <dimension ref="A1:K45"/>
  <sheetViews>
    <sheetView workbookViewId="0">
      <selection activeCell="K23" sqref="K23"/>
    </sheetView>
  </sheetViews>
  <sheetFormatPr baseColWidth="10" defaultRowHeight="15" x14ac:dyDescent="0.2"/>
  <sheetData>
    <row r="1" spans="1:11" x14ac:dyDescent="0.2">
      <c r="A1" t="s">
        <v>42</v>
      </c>
      <c r="E1" t="s">
        <v>43</v>
      </c>
      <c r="I1" t="s">
        <v>44</v>
      </c>
    </row>
    <row r="2" spans="1:11" x14ac:dyDescent="0.2">
      <c r="A2" t="s">
        <v>29</v>
      </c>
      <c r="B2" t="s">
        <v>30</v>
      </c>
      <c r="C2" t="s">
        <v>28</v>
      </c>
      <c r="E2" t="s">
        <v>29</v>
      </c>
      <c r="F2" t="s">
        <v>30</v>
      </c>
      <c r="G2" t="s">
        <v>28</v>
      </c>
      <c r="I2" t="s">
        <v>29</v>
      </c>
      <c r="J2" t="s">
        <v>30</v>
      </c>
      <c r="K2" t="s">
        <v>28</v>
      </c>
    </row>
    <row r="3" spans="1:11" x14ac:dyDescent="0.2">
      <c r="A3">
        <v>1</v>
      </c>
      <c r="B3">
        <v>2.9672131147540988</v>
      </c>
      <c r="E3">
        <v>1</v>
      </c>
      <c r="F3">
        <v>1.2836879432624115</v>
      </c>
      <c r="I3">
        <v>1</v>
      </c>
      <c r="J3">
        <v>2.5702479338842976</v>
      </c>
    </row>
    <row r="4" spans="1:11" x14ac:dyDescent="0.2">
      <c r="A4">
        <v>2</v>
      </c>
      <c r="B4">
        <v>3.7142857142857144</v>
      </c>
      <c r="C4">
        <v>3.1665602157405437</v>
      </c>
      <c r="E4">
        <v>2</v>
      </c>
      <c r="F4">
        <v>3.6</v>
      </c>
      <c r="G4">
        <v>3.2945626477541374</v>
      </c>
      <c r="I4">
        <v>2</v>
      </c>
      <c r="J4">
        <v>3.6923076923076925</v>
      </c>
      <c r="K4">
        <v>3.4977749523204067</v>
      </c>
    </row>
    <row r="5" spans="1:11" x14ac:dyDescent="0.2">
      <c r="A5">
        <v>3</v>
      </c>
      <c r="B5">
        <v>2.8181818181818183</v>
      </c>
      <c r="C5">
        <v>3.1774891774891771</v>
      </c>
      <c r="E5">
        <v>3</v>
      </c>
      <c r="F5">
        <v>5</v>
      </c>
      <c r="G5">
        <v>4.0666666666666664</v>
      </c>
      <c r="I5">
        <v>3</v>
      </c>
      <c r="J5">
        <v>4.2307692307692308</v>
      </c>
      <c r="K5">
        <v>4.6039886039886042</v>
      </c>
    </row>
    <row r="6" spans="1:11" x14ac:dyDescent="0.2">
      <c r="A6">
        <v>4</v>
      </c>
      <c r="B6">
        <v>3</v>
      </c>
      <c r="C6">
        <v>3.1477272727272729</v>
      </c>
      <c r="E6">
        <v>4</v>
      </c>
      <c r="F6">
        <v>3.6</v>
      </c>
      <c r="G6">
        <v>8.0333333333333332</v>
      </c>
      <c r="I6">
        <v>4</v>
      </c>
      <c r="J6">
        <v>5.8888888888888893</v>
      </c>
      <c r="K6">
        <v>4.7898860398860394</v>
      </c>
    </row>
    <row r="7" spans="1:11" x14ac:dyDescent="0.2">
      <c r="A7">
        <v>5</v>
      </c>
      <c r="B7">
        <v>3.625</v>
      </c>
      <c r="C7">
        <v>3.4464285714285716</v>
      </c>
      <c r="E7">
        <v>5</v>
      </c>
      <c r="F7">
        <v>15.5</v>
      </c>
      <c r="G7">
        <v>7.9857142857142867</v>
      </c>
      <c r="I7">
        <v>5</v>
      </c>
      <c r="J7">
        <v>4.25</v>
      </c>
      <c r="K7">
        <v>4.5740740740740744</v>
      </c>
    </row>
    <row r="8" spans="1:11" x14ac:dyDescent="0.2">
      <c r="A8">
        <v>6</v>
      </c>
      <c r="B8">
        <v>3.7142857142857144</v>
      </c>
      <c r="C8">
        <v>3.2612433862433861</v>
      </c>
      <c r="E8">
        <v>6</v>
      </c>
      <c r="F8">
        <v>4.8571428571428568</v>
      </c>
      <c r="G8">
        <v>8.7857142857142865</v>
      </c>
      <c r="I8">
        <v>6</v>
      </c>
      <c r="J8">
        <v>3.5833333333333335</v>
      </c>
      <c r="K8">
        <v>3.6414141414141419</v>
      </c>
    </row>
    <row r="9" spans="1:11" x14ac:dyDescent="0.2">
      <c r="A9">
        <v>7</v>
      </c>
      <c r="B9">
        <v>2.4444444444444446</v>
      </c>
      <c r="C9">
        <v>2.7195767195767195</v>
      </c>
      <c r="E9">
        <v>7</v>
      </c>
      <c r="F9">
        <v>6</v>
      </c>
      <c r="G9">
        <v>4.6857142857142859</v>
      </c>
      <c r="I9">
        <v>7</v>
      </c>
      <c r="J9">
        <v>3.0909090909090908</v>
      </c>
      <c r="K9">
        <v>3.0303030303030298</v>
      </c>
    </row>
    <row r="10" spans="1:11" x14ac:dyDescent="0.2">
      <c r="A10">
        <v>8</v>
      </c>
      <c r="B10">
        <v>2</v>
      </c>
      <c r="C10">
        <v>2.1005291005291009</v>
      </c>
      <c r="E10">
        <v>8</v>
      </c>
      <c r="F10">
        <v>3.2</v>
      </c>
      <c r="G10">
        <v>4.1083333333333334</v>
      </c>
      <c r="I10">
        <v>8</v>
      </c>
      <c r="J10">
        <v>2.4166666666666665</v>
      </c>
      <c r="K10">
        <v>2.4469696969696968</v>
      </c>
    </row>
    <row r="11" spans="1:11" x14ac:dyDescent="0.2">
      <c r="A11">
        <v>9</v>
      </c>
      <c r="B11">
        <v>1.8571428571428572</v>
      </c>
      <c r="C11">
        <v>1.9523809523809526</v>
      </c>
      <c r="E11">
        <v>9</v>
      </c>
      <c r="F11">
        <v>3.125</v>
      </c>
      <c r="G11">
        <v>3.8583333333333329</v>
      </c>
      <c r="I11">
        <v>9</v>
      </c>
      <c r="J11">
        <v>1.8333333333333333</v>
      </c>
      <c r="K11">
        <v>1.8611111111111109</v>
      </c>
    </row>
    <row r="12" spans="1:11" x14ac:dyDescent="0.2">
      <c r="A12">
        <v>10</v>
      </c>
      <c r="B12">
        <v>2</v>
      </c>
      <c r="C12">
        <v>1.7301587301587302</v>
      </c>
      <c r="E12">
        <v>10</v>
      </c>
      <c r="F12">
        <v>5.25</v>
      </c>
      <c r="G12">
        <v>4.125</v>
      </c>
      <c r="I12">
        <v>10</v>
      </c>
      <c r="J12">
        <v>1.3333333333333333</v>
      </c>
      <c r="K12">
        <v>1.3888888888888886</v>
      </c>
    </row>
    <row r="13" spans="1:11" x14ac:dyDescent="0.2">
      <c r="A13">
        <v>11</v>
      </c>
      <c r="B13">
        <v>1.3333333333333333</v>
      </c>
      <c r="C13">
        <v>1.4444444444444444</v>
      </c>
      <c r="E13">
        <v>11</v>
      </c>
      <c r="F13">
        <v>4</v>
      </c>
      <c r="G13">
        <v>6.583333333333333</v>
      </c>
      <c r="I13">
        <v>11</v>
      </c>
      <c r="J13">
        <v>1</v>
      </c>
      <c r="K13">
        <v>1.1111111111111109</v>
      </c>
    </row>
    <row r="14" spans="1:11" x14ac:dyDescent="0.2">
      <c r="A14">
        <v>12</v>
      </c>
      <c r="B14">
        <v>1</v>
      </c>
      <c r="C14">
        <v>1.1111111111111109</v>
      </c>
      <c r="E14">
        <v>12</v>
      </c>
      <c r="F14">
        <v>10.5</v>
      </c>
      <c r="G14">
        <v>6.4333333333333336</v>
      </c>
      <c r="I14">
        <v>12</v>
      </c>
      <c r="J14">
        <v>1</v>
      </c>
      <c r="K14">
        <v>1</v>
      </c>
    </row>
    <row r="15" spans="1:11" x14ac:dyDescent="0.2">
      <c r="A15">
        <v>13</v>
      </c>
      <c r="B15">
        <v>1</v>
      </c>
      <c r="C15">
        <v>1</v>
      </c>
      <c r="E15">
        <v>13</v>
      </c>
      <c r="F15">
        <v>4.8</v>
      </c>
      <c r="G15">
        <v>6.4888888888888898</v>
      </c>
      <c r="I15">
        <v>13</v>
      </c>
      <c r="J15">
        <v>1</v>
      </c>
      <c r="K15">
        <v>1</v>
      </c>
    </row>
    <row r="16" spans="1:11" x14ac:dyDescent="0.2">
      <c r="A16">
        <v>14</v>
      </c>
      <c r="B16">
        <v>1</v>
      </c>
      <c r="C16">
        <v>1</v>
      </c>
      <c r="E16">
        <v>14</v>
      </c>
      <c r="F16">
        <v>4.166666666666667</v>
      </c>
      <c r="G16">
        <v>4.3888888888888893</v>
      </c>
      <c r="I16">
        <v>14</v>
      </c>
      <c r="J16">
        <v>1</v>
      </c>
      <c r="K16">
        <v>1</v>
      </c>
    </row>
    <row r="17" spans="1:11" x14ac:dyDescent="0.2">
      <c r="A17">
        <v>15</v>
      </c>
      <c r="B17">
        <v>1</v>
      </c>
      <c r="C17">
        <v>1</v>
      </c>
      <c r="E17">
        <v>15</v>
      </c>
      <c r="F17">
        <v>4.2</v>
      </c>
      <c r="G17">
        <v>3.5388888888888892</v>
      </c>
      <c r="I17">
        <v>15</v>
      </c>
      <c r="J17">
        <v>1</v>
      </c>
      <c r="K17">
        <v>1</v>
      </c>
    </row>
    <row r="18" spans="1:11" x14ac:dyDescent="0.2">
      <c r="A18">
        <v>16</v>
      </c>
      <c r="B18">
        <v>1</v>
      </c>
      <c r="C18">
        <v>1</v>
      </c>
      <c r="E18">
        <v>16</v>
      </c>
      <c r="F18">
        <v>2.25</v>
      </c>
      <c r="G18">
        <v>2.5833333333333335</v>
      </c>
      <c r="I18">
        <v>16</v>
      </c>
      <c r="J18">
        <v>1</v>
      </c>
      <c r="K18">
        <v>1</v>
      </c>
    </row>
    <row r="19" spans="1:11" x14ac:dyDescent="0.2">
      <c r="A19">
        <v>17</v>
      </c>
      <c r="B19">
        <v>1</v>
      </c>
      <c r="C19">
        <v>1</v>
      </c>
      <c r="E19">
        <v>17</v>
      </c>
      <c r="F19">
        <v>1.3</v>
      </c>
      <c r="G19">
        <v>1.5166666666666666</v>
      </c>
      <c r="I19">
        <v>17</v>
      </c>
      <c r="J19">
        <v>1</v>
      </c>
      <c r="K19">
        <v>1</v>
      </c>
    </row>
    <row r="20" spans="1:11" x14ac:dyDescent="0.2">
      <c r="A20">
        <v>18</v>
      </c>
      <c r="B20">
        <v>1</v>
      </c>
      <c r="C20">
        <v>1</v>
      </c>
      <c r="E20">
        <v>18</v>
      </c>
      <c r="F20">
        <v>1</v>
      </c>
      <c r="G20">
        <v>1.0999999999999999</v>
      </c>
      <c r="I20">
        <v>18</v>
      </c>
      <c r="J20">
        <v>1</v>
      </c>
      <c r="K20">
        <v>1</v>
      </c>
    </row>
    <row r="21" spans="1:11" x14ac:dyDescent="0.2">
      <c r="A21">
        <v>19</v>
      </c>
      <c r="B21">
        <v>1</v>
      </c>
      <c r="C21">
        <v>1</v>
      </c>
      <c r="E21">
        <v>19</v>
      </c>
      <c r="F21">
        <v>1</v>
      </c>
      <c r="G21">
        <v>1</v>
      </c>
      <c r="I21">
        <v>19</v>
      </c>
      <c r="J21">
        <v>1</v>
      </c>
      <c r="K21">
        <v>1</v>
      </c>
    </row>
    <row r="22" spans="1:11" x14ac:dyDescent="0.2">
      <c r="A22">
        <v>20</v>
      </c>
      <c r="B22">
        <v>1</v>
      </c>
      <c r="E22">
        <v>20</v>
      </c>
      <c r="F22">
        <v>1</v>
      </c>
      <c r="I22">
        <v>20</v>
      </c>
      <c r="J22">
        <v>1</v>
      </c>
    </row>
    <row r="25" spans="1:11" x14ac:dyDescent="0.2">
      <c r="B25" t="s">
        <v>42</v>
      </c>
      <c r="C25" t="s">
        <v>44</v>
      </c>
      <c r="D25" t="s">
        <v>45</v>
      </c>
    </row>
    <row r="26" spans="1:11" x14ac:dyDescent="0.2">
      <c r="B26">
        <v>2.9672131147540988</v>
      </c>
      <c r="C26">
        <v>2.5702479338842976</v>
      </c>
      <c r="D26">
        <v>1.2836879432624115</v>
      </c>
    </row>
    <row r="27" spans="1:11" x14ac:dyDescent="0.2">
      <c r="B27">
        <v>3.7142857142857144</v>
      </c>
      <c r="C27">
        <v>3.6923076923076925</v>
      </c>
      <c r="D27">
        <v>3.6</v>
      </c>
    </row>
    <row r="28" spans="1:11" x14ac:dyDescent="0.2">
      <c r="B28">
        <v>2.8181818181818183</v>
      </c>
      <c r="C28">
        <v>4.2307692307692308</v>
      </c>
      <c r="D28">
        <v>5</v>
      </c>
    </row>
    <row r="29" spans="1:11" x14ac:dyDescent="0.2">
      <c r="B29">
        <v>3</v>
      </c>
      <c r="C29">
        <v>5.8888888888888893</v>
      </c>
      <c r="D29">
        <v>3.6</v>
      </c>
    </row>
    <row r="30" spans="1:11" x14ac:dyDescent="0.2">
      <c r="B30">
        <v>3.625</v>
      </c>
      <c r="C30">
        <v>4.25</v>
      </c>
      <c r="D30">
        <v>15.5</v>
      </c>
    </row>
    <row r="31" spans="1:11" x14ac:dyDescent="0.2">
      <c r="B31">
        <v>3.7142857142857144</v>
      </c>
      <c r="C31">
        <v>3.5833333333333335</v>
      </c>
      <c r="D31">
        <v>4.8571428571428568</v>
      </c>
    </row>
    <row r="32" spans="1:11" x14ac:dyDescent="0.2">
      <c r="B32">
        <v>2.4444444444444446</v>
      </c>
      <c r="C32">
        <v>3.0909090909090908</v>
      </c>
      <c r="D32">
        <v>6</v>
      </c>
    </row>
    <row r="33" spans="2:4" x14ac:dyDescent="0.2">
      <c r="B33">
        <v>2</v>
      </c>
      <c r="C33">
        <v>2.4166666666666665</v>
      </c>
      <c r="D33">
        <v>3.2</v>
      </c>
    </row>
    <row r="34" spans="2:4" x14ac:dyDescent="0.2">
      <c r="B34">
        <v>1.8571428571428572</v>
      </c>
      <c r="C34">
        <v>1.8333333333333333</v>
      </c>
      <c r="D34">
        <v>3.125</v>
      </c>
    </row>
    <row r="35" spans="2:4" x14ac:dyDescent="0.2">
      <c r="B35">
        <v>2</v>
      </c>
      <c r="C35">
        <v>1.3333333333333333</v>
      </c>
      <c r="D35">
        <v>5.25</v>
      </c>
    </row>
    <row r="36" spans="2:4" x14ac:dyDescent="0.2">
      <c r="B36">
        <v>1.3333333333333333</v>
      </c>
      <c r="C36">
        <v>1</v>
      </c>
      <c r="D36">
        <v>4</v>
      </c>
    </row>
    <row r="37" spans="2:4" x14ac:dyDescent="0.2">
      <c r="B37">
        <v>1</v>
      </c>
      <c r="C37">
        <v>1</v>
      </c>
      <c r="D37">
        <v>10.5</v>
      </c>
    </row>
    <row r="38" spans="2:4" x14ac:dyDescent="0.2">
      <c r="B38">
        <v>1</v>
      </c>
      <c r="C38">
        <v>1</v>
      </c>
      <c r="D38">
        <v>4.8</v>
      </c>
    </row>
    <row r="39" spans="2:4" x14ac:dyDescent="0.2">
      <c r="B39">
        <v>1</v>
      </c>
      <c r="C39">
        <v>1</v>
      </c>
      <c r="D39">
        <v>4.166666666666667</v>
      </c>
    </row>
    <row r="40" spans="2:4" x14ac:dyDescent="0.2">
      <c r="B40">
        <v>1</v>
      </c>
      <c r="C40">
        <v>1</v>
      </c>
      <c r="D40">
        <v>4.2</v>
      </c>
    </row>
    <row r="41" spans="2:4" x14ac:dyDescent="0.2">
      <c r="B41">
        <v>1</v>
      </c>
      <c r="C41">
        <v>1</v>
      </c>
      <c r="D41">
        <v>2.25</v>
      </c>
    </row>
    <row r="42" spans="2:4" x14ac:dyDescent="0.2">
      <c r="B42">
        <v>1</v>
      </c>
      <c r="C42">
        <v>1</v>
      </c>
      <c r="D42">
        <v>1.3</v>
      </c>
    </row>
    <row r="43" spans="2:4" x14ac:dyDescent="0.2">
      <c r="B43">
        <v>1</v>
      </c>
      <c r="C43">
        <v>1</v>
      </c>
      <c r="D43">
        <v>1</v>
      </c>
    </row>
    <row r="44" spans="2:4" x14ac:dyDescent="0.2">
      <c r="B44">
        <v>1</v>
      </c>
      <c r="C44">
        <v>1</v>
      </c>
      <c r="D44">
        <v>1</v>
      </c>
    </row>
    <row r="45" spans="2:4" x14ac:dyDescent="0.2">
      <c r="B45">
        <v>1</v>
      </c>
      <c r="C45">
        <v>1</v>
      </c>
      <c r="D45"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E7A57-5E37-7E48-AC72-F27BFAA8428C}">
  <dimension ref="A1:AL95"/>
  <sheetViews>
    <sheetView topLeftCell="V38" zoomScale="75" workbookViewId="0">
      <selection activeCell="AM62" sqref="AM62"/>
    </sheetView>
  </sheetViews>
  <sheetFormatPr baseColWidth="10" defaultRowHeight="15" x14ac:dyDescent="0.2"/>
  <sheetData>
    <row r="1" spans="1:29" x14ac:dyDescent="0.2">
      <c r="A1" t="s">
        <v>52</v>
      </c>
      <c r="L1" t="s">
        <v>11</v>
      </c>
      <c r="M1" t="s">
        <v>30</v>
      </c>
      <c r="N1" t="s">
        <v>28</v>
      </c>
      <c r="P1" t="s">
        <v>12</v>
      </c>
      <c r="Q1" t="s">
        <v>30</v>
      </c>
      <c r="R1" t="s">
        <v>28</v>
      </c>
      <c r="T1" t="s">
        <v>29</v>
      </c>
      <c r="U1" t="s">
        <v>30</v>
      </c>
      <c r="V1" t="s">
        <v>28</v>
      </c>
      <c r="Y1" t="s">
        <v>11</v>
      </c>
    </row>
    <row r="2" spans="1:29" x14ac:dyDescent="0.2">
      <c r="L2">
        <v>1</v>
      </c>
      <c r="M2">
        <v>192</v>
      </c>
      <c r="P2">
        <v>1</v>
      </c>
      <c r="Q2">
        <v>7</v>
      </c>
      <c r="T2">
        <v>1</v>
      </c>
      <c r="U2">
        <v>2.5702479338842976</v>
      </c>
      <c r="Y2" t="s">
        <v>57</v>
      </c>
      <c r="Z2" t="s">
        <v>58</v>
      </c>
      <c r="AB2" t="s">
        <v>59</v>
      </c>
      <c r="AC2" s="35" t="s">
        <v>60</v>
      </c>
    </row>
    <row r="3" spans="1:29" x14ac:dyDescent="0.2">
      <c r="A3">
        <v>2</v>
      </c>
      <c r="B3">
        <v>4</v>
      </c>
      <c r="C3">
        <v>1</v>
      </c>
      <c r="D3">
        <v>3</v>
      </c>
      <c r="E3">
        <v>5</v>
      </c>
      <c r="F3">
        <v>5</v>
      </c>
      <c r="G3">
        <v>2</v>
      </c>
      <c r="H3">
        <v>2</v>
      </c>
      <c r="L3">
        <v>2</v>
      </c>
      <c r="M3">
        <v>345</v>
      </c>
      <c r="N3">
        <v>320.66666666666669</v>
      </c>
      <c r="P3">
        <v>2</v>
      </c>
      <c r="Q3">
        <v>5.384615384615385</v>
      </c>
      <c r="R3">
        <v>5.4358974358974352</v>
      </c>
      <c r="T3">
        <v>2</v>
      </c>
      <c r="U3">
        <v>3.6923076923076925</v>
      </c>
      <c r="V3">
        <v>3.4977749523204067</v>
      </c>
      <c r="Y3">
        <v>192</v>
      </c>
      <c r="Z3">
        <v>192</v>
      </c>
      <c r="AB3">
        <v>192</v>
      </c>
      <c r="AC3">
        <v>393</v>
      </c>
    </row>
    <row r="4" spans="1:29" x14ac:dyDescent="0.2">
      <c r="A4">
        <v>17</v>
      </c>
      <c r="B4">
        <v>15</v>
      </c>
      <c r="C4">
        <v>14</v>
      </c>
      <c r="D4">
        <v>44</v>
      </c>
      <c r="E4">
        <v>1</v>
      </c>
      <c r="F4" s="42">
        <v>2</v>
      </c>
      <c r="G4">
        <v>0</v>
      </c>
      <c r="H4">
        <v>0</v>
      </c>
      <c r="I4">
        <v>12</v>
      </c>
      <c r="J4">
        <v>0</v>
      </c>
      <c r="L4">
        <v>3</v>
      </c>
      <c r="M4">
        <v>425</v>
      </c>
      <c r="N4">
        <v>412.66666666666669</v>
      </c>
      <c r="P4">
        <v>3</v>
      </c>
      <c r="Q4">
        <v>3.9230769230769229</v>
      </c>
      <c r="R4">
        <v>4.584045584045584</v>
      </c>
      <c r="T4">
        <v>3</v>
      </c>
      <c r="U4">
        <v>4.2307692307692308</v>
      </c>
      <c r="V4">
        <v>4.6039886039886042</v>
      </c>
      <c r="Y4">
        <v>345</v>
      </c>
      <c r="Z4">
        <v>345</v>
      </c>
      <c r="AB4">
        <v>345</v>
      </c>
      <c r="AC4">
        <v>661</v>
      </c>
    </row>
    <row r="5" spans="1:29" x14ac:dyDescent="0.2">
      <c r="A5">
        <v>14</v>
      </c>
      <c r="B5">
        <v>14</v>
      </c>
      <c r="C5">
        <v>14</v>
      </c>
      <c r="D5">
        <v>27</v>
      </c>
      <c r="E5">
        <v>1</v>
      </c>
      <c r="F5" s="42">
        <v>2</v>
      </c>
      <c r="G5">
        <v>0</v>
      </c>
      <c r="H5">
        <v>0</v>
      </c>
      <c r="I5">
        <v>12</v>
      </c>
      <c r="J5">
        <v>0</v>
      </c>
      <c r="L5">
        <v>4</v>
      </c>
      <c r="M5">
        <v>468</v>
      </c>
      <c r="N5">
        <v>444.66666666666669</v>
      </c>
      <c r="P5">
        <v>4</v>
      </c>
      <c r="Q5">
        <v>4.4444444444444446</v>
      </c>
      <c r="R5">
        <v>3.193935693935694</v>
      </c>
      <c r="T5">
        <v>4</v>
      </c>
      <c r="U5">
        <v>5.8888888888888893</v>
      </c>
      <c r="V5">
        <v>4.7898860398860394</v>
      </c>
      <c r="Y5">
        <v>425</v>
      </c>
      <c r="Z5">
        <v>425</v>
      </c>
      <c r="AB5">
        <v>425</v>
      </c>
      <c r="AC5">
        <v>837</v>
      </c>
    </row>
    <row r="6" spans="1:29" x14ac:dyDescent="0.2">
      <c r="A6">
        <v>10</v>
      </c>
      <c r="B6">
        <v>7</v>
      </c>
      <c r="C6">
        <v>9</v>
      </c>
      <c r="D6">
        <v>24</v>
      </c>
      <c r="E6">
        <v>1</v>
      </c>
      <c r="F6" s="42">
        <v>2</v>
      </c>
      <c r="G6">
        <v>0</v>
      </c>
      <c r="H6">
        <v>0</v>
      </c>
      <c r="I6">
        <v>12</v>
      </c>
      <c r="J6">
        <v>0</v>
      </c>
      <c r="L6">
        <v>5</v>
      </c>
      <c r="M6">
        <v>441</v>
      </c>
      <c r="N6">
        <v>433</v>
      </c>
      <c r="P6">
        <v>5</v>
      </c>
      <c r="Q6">
        <v>1.2142857142857142</v>
      </c>
      <c r="R6">
        <v>2.1481481481481484</v>
      </c>
      <c r="T6">
        <v>5</v>
      </c>
      <c r="U6">
        <v>4.25</v>
      </c>
      <c r="V6">
        <v>4.5740740740740744</v>
      </c>
      <c r="Y6">
        <v>468</v>
      </c>
      <c r="Z6">
        <v>468</v>
      </c>
      <c r="AB6">
        <v>468</v>
      </c>
      <c r="AC6">
        <v>927</v>
      </c>
    </row>
    <row r="7" spans="1:29" x14ac:dyDescent="0.2">
      <c r="A7">
        <v>6</v>
      </c>
      <c r="B7">
        <v>4</v>
      </c>
      <c r="C7">
        <v>4</v>
      </c>
      <c r="D7">
        <v>25</v>
      </c>
      <c r="E7">
        <v>1</v>
      </c>
      <c r="F7" s="42">
        <v>2</v>
      </c>
      <c r="G7">
        <v>3</v>
      </c>
      <c r="H7">
        <v>0</v>
      </c>
      <c r="I7">
        <v>5</v>
      </c>
      <c r="J7">
        <v>0</v>
      </c>
      <c r="L7">
        <v>6</v>
      </c>
      <c r="M7">
        <v>390</v>
      </c>
      <c r="N7">
        <v>390</v>
      </c>
      <c r="P7">
        <v>6</v>
      </c>
      <c r="Q7">
        <v>0.7857142857142857</v>
      </c>
      <c r="R7">
        <v>0.91666666666666663</v>
      </c>
      <c r="T7">
        <v>6</v>
      </c>
      <c r="U7">
        <v>3.5833333333333335</v>
      </c>
      <c r="V7">
        <v>3.6414141414141419</v>
      </c>
      <c r="Y7">
        <v>441</v>
      </c>
      <c r="Z7">
        <v>441</v>
      </c>
      <c r="AB7">
        <v>441</v>
      </c>
      <c r="AC7">
        <v>780</v>
      </c>
    </row>
    <row r="8" spans="1:29" x14ac:dyDescent="0.2">
      <c r="A8">
        <v>3</v>
      </c>
      <c r="B8">
        <v>1</v>
      </c>
      <c r="C8">
        <v>3</v>
      </c>
      <c r="D8">
        <v>9</v>
      </c>
      <c r="E8">
        <v>2</v>
      </c>
      <c r="F8" s="42">
        <v>1</v>
      </c>
      <c r="G8">
        <v>8</v>
      </c>
      <c r="H8">
        <v>0</v>
      </c>
      <c r="I8">
        <v>3</v>
      </c>
      <c r="J8">
        <v>2</v>
      </c>
      <c r="L8">
        <v>7</v>
      </c>
      <c r="M8">
        <v>339</v>
      </c>
      <c r="N8">
        <v>342</v>
      </c>
      <c r="P8">
        <v>7</v>
      </c>
      <c r="Q8">
        <v>0.75</v>
      </c>
      <c r="R8">
        <v>0.70238095238095222</v>
      </c>
      <c r="T8">
        <v>7</v>
      </c>
      <c r="U8">
        <v>3.0909090909090908</v>
      </c>
      <c r="V8">
        <v>3.0303030303030298</v>
      </c>
      <c r="Y8">
        <v>390</v>
      </c>
      <c r="Z8">
        <v>390</v>
      </c>
      <c r="AB8">
        <v>390</v>
      </c>
      <c r="AC8">
        <v>636</v>
      </c>
    </row>
    <row r="9" spans="1:29" x14ac:dyDescent="0.2">
      <c r="A9">
        <v>0</v>
      </c>
      <c r="B9">
        <v>2</v>
      </c>
      <c r="C9">
        <v>3</v>
      </c>
      <c r="D9">
        <v>5</v>
      </c>
      <c r="E9">
        <v>2</v>
      </c>
      <c r="F9" s="42">
        <v>1</v>
      </c>
      <c r="G9">
        <v>8</v>
      </c>
      <c r="H9">
        <v>0</v>
      </c>
      <c r="I9">
        <v>3</v>
      </c>
      <c r="J9">
        <v>2</v>
      </c>
      <c r="L9">
        <v>8</v>
      </c>
      <c r="M9">
        <v>297</v>
      </c>
      <c r="N9">
        <v>295.66666666666669</v>
      </c>
      <c r="P9">
        <v>8</v>
      </c>
      <c r="Q9">
        <v>0.5714285714285714</v>
      </c>
      <c r="R9">
        <v>0.66269841269841268</v>
      </c>
      <c r="T9">
        <v>8</v>
      </c>
      <c r="U9">
        <v>2.4166666666666665</v>
      </c>
      <c r="V9">
        <v>2.4469696969696968</v>
      </c>
      <c r="Y9">
        <v>339</v>
      </c>
      <c r="Z9">
        <v>339</v>
      </c>
      <c r="AB9">
        <v>339</v>
      </c>
      <c r="AC9">
        <v>533</v>
      </c>
    </row>
    <row r="10" spans="1:29" x14ac:dyDescent="0.2">
      <c r="A10">
        <v>1</v>
      </c>
      <c r="B10">
        <v>1</v>
      </c>
      <c r="C10">
        <v>1</v>
      </c>
      <c r="D10">
        <v>5</v>
      </c>
      <c r="E10">
        <v>2</v>
      </c>
      <c r="F10" s="42">
        <v>1</v>
      </c>
      <c r="G10">
        <v>9</v>
      </c>
      <c r="H10">
        <v>0</v>
      </c>
      <c r="I10">
        <v>1</v>
      </c>
      <c r="J10">
        <v>1</v>
      </c>
      <c r="L10">
        <v>9</v>
      </c>
      <c r="M10">
        <v>251</v>
      </c>
      <c r="N10">
        <v>252.66666666666666</v>
      </c>
      <c r="P10">
        <v>9</v>
      </c>
      <c r="Q10">
        <v>0.66666666666666663</v>
      </c>
      <c r="R10">
        <v>0.62698412698412698</v>
      </c>
      <c r="T10">
        <v>9</v>
      </c>
      <c r="U10">
        <v>1.8333333333333333</v>
      </c>
      <c r="V10">
        <v>1.8611111111111109</v>
      </c>
      <c r="Y10">
        <v>297</v>
      </c>
      <c r="Z10">
        <v>297</v>
      </c>
      <c r="AB10">
        <v>297</v>
      </c>
      <c r="AC10">
        <v>470</v>
      </c>
    </row>
    <row r="11" spans="1:29" x14ac:dyDescent="0.2">
      <c r="A11">
        <v>2</v>
      </c>
      <c r="B11">
        <v>0</v>
      </c>
      <c r="C11">
        <v>3</v>
      </c>
      <c r="D11">
        <v>2</v>
      </c>
      <c r="E11">
        <v>2</v>
      </c>
      <c r="F11" s="42">
        <v>1</v>
      </c>
      <c r="G11">
        <v>8</v>
      </c>
      <c r="H11">
        <v>0</v>
      </c>
      <c r="I11">
        <v>3</v>
      </c>
      <c r="J11">
        <v>2</v>
      </c>
      <c r="L11">
        <v>10</v>
      </c>
      <c r="M11">
        <v>210</v>
      </c>
      <c r="N11">
        <v>211</v>
      </c>
      <c r="P11">
        <v>10</v>
      </c>
      <c r="Q11">
        <v>0.6428571428571429</v>
      </c>
      <c r="R11">
        <v>0.51058201058201058</v>
      </c>
      <c r="T11">
        <v>10</v>
      </c>
      <c r="U11">
        <v>1.3333333333333333</v>
      </c>
      <c r="V11">
        <v>1.3888888888888886</v>
      </c>
      <c r="Y11">
        <v>251</v>
      </c>
      <c r="Z11">
        <v>251</v>
      </c>
      <c r="AB11">
        <v>251</v>
      </c>
      <c r="AC11">
        <v>416</v>
      </c>
    </row>
    <row r="12" spans="1:29" x14ac:dyDescent="0.2">
      <c r="A12">
        <v>2</v>
      </c>
      <c r="B12">
        <v>1</v>
      </c>
      <c r="C12">
        <v>2</v>
      </c>
      <c r="D12">
        <v>2</v>
      </c>
      <c r="E12">
        <v>2</v>
      </c>
      <c r="F12" s="42">
        <v>1</v>
      </c>
      <c r="G12">
        <v>9</v>
      </c>
      <c r="H12">
        <v>0</v>
      </c>
      <c r="I12">
        <v>2</v>
      </c>
      <c r="J12">
        <v>0</v>
      </c>
      <c r="L12">
        <v>11</v>
      </c>
      <c r="M12">
        <v>172</v>
      </c>
      <c r="N12">
        <v>177</v>
      </c>
      <c r="P12">
        <v>11</v>
      </c>
      <c r="Q12">
        <v>0.22222222222222221</v>
      </c>
      <c r="R12">
        <v>0.32682132682132686</v>
      </c>
      <c r="T12">
        <v>11</v>
      </c>
      <c r="U12">
        <v>1</v>
      </c>
      <c r="V12">
        <v>1.1111111111111109</v>
      </c>
      <c r="Y12">
        <v>210</v>
      </c>
      <c r="Z12">
        <v>210</v>
      </c>
      <c r="AB12">
        <v>210</v>
      </c>
      <c r="AC12">
        <v>348</v>
      </c>
    </row>
    <row r="13" spans="1:29" x14ac:dyDescent="0.2">
      <c r="A13">
        <v>2</v>
      </c>
      <c r="B13">
        <v>1</v>
      </c>
      <c r="C13">
        <v>3</v>
      </c>
      <c r="D13">
        <v>2</v>
      </c>
      <c r="E13">
        <v>2</v>
      </c>
      <c r="F13" s="42">
        <v>1</v>
      </c>
      <c r="G13">
        <v>8</v>
      </c>
      <c r="H13">
        <v>0</v>
      </c>
      <c r="I13">
        <v>3</v>
      </c>
      <c r="J13">
        <v>2</v>
      </c>
      <c r="L13">
        <v>12</v>
      </c>
      <c r="M13">
        <v>149</v>
      </c>
      <c r="N13">
        <v>150.66666666666666</v>
      </c>
      <c r="P13">
        <v>12</v>
      </c>
      <c r="Q13">
        <v>0.11538461538461539</v>
      </c>
      <c r="R13">
        <v>0.18499938065155455</v>
      </c>
      <c r="T13">
        <v>12</v>
      </c>
      <c r="U13">
        <v>1</v>
      </c>
      <c r="V13">
        <v>1</v>
      </c>
      <c r="Y13">
        <v>172</v>
      </c>
      <c r="Z13">
        <v>172</v>
      </c>
      <c r="AB13">
        <v>172</v>
      </c>
      <c r="AC13">
        <v>288</v>
      </c>
    </row>
    <row r="14" spans="1:29" x14ac:dyDescent="0.2">
      <c r="A14">
        <v>1</v>
      </c>
      <c r="B14">
        <v>1</v>
      </c>
      <c r="C14">
        <v>0</v>
      </c>
      <c r="D14">
        <v>1</v>
      </c>
      <c r="E14">
        <v>2</v>
      </c>
      <c r="F14" s="42">
        <v>1</v>
      </c>
      <c r="G14">
        <v>5</v>
      </c>
      <c r="H14">
        <v>0</v>
      </c>
      <c r="I14">
        <v>0</v>
      </c>
      <c r="J14">
        <v>12</v>
      </c>
      <c r="L14">
        <v>13</v>
      </c>
      <c r="M14">
        <v>131</v>
      </c>
      <c r="N14">
        <v>129.33333333333334</v>
      </c>
      <c r="P14">
        <v>13</v>
      </c>
      <c r="Q14">
        <v>0.21739130434782608</v>
      </c>
      <c r="R14">
        <v>0.14938684503901897</v>
      </c>
      <c r="T14">
        <v>13</v>
      </c>
      <c r="U14">
        <v>1</v>
      </c>
      <c r="V14">
        <v>1</v>
      </c>
      <c r="Y14">
        <v>149</v>
      </c>
      <c r="Z14">
        <v>149</v>
      </c>
      <c r="AB14">
        <v>149</v>
      </c>
      <c r="AC14">
        <v>224</v>
      </c>
    </row>
    <row r="15" spans="1:29" x14ac:dyDescent="0.2">
      <c r="A15">
        <v>0</v>
      </c>
      <c r="B15">
        <v>0</v>
      </c>
      <c r="C15">
        <v>1</v>
      </c>
      <c r="D15">
        <v>1</v>
      </c>
      <c r="E15">
        <v>2</v>
      </c>
      <c r="F15" s="42">
        <v>1</v>
      </c>
      <c r="G15">
        <v>0</v>
      </c>
      <c r="H15">
        <v>0</v>
      </c>
      <c r="I15">
        <v>1</v>
      </c>
      <c r="J15">
        <v>24</v>
      </c>
      <c r="L15">
        <v>14</v>
      </c>
      <c r="M15">
        <v>108</v>
      </c>
      <c r="N15">
        <v>109.33333333333333</v>
      </c>
      <c r="P15">
        <v>14</v>
      </c>
      <c r="Q15">
        <v>0.11538461538461539</v>
      </c>
      <c r="R15">
        <v>0.18036975102192496</v>
      </c>
      <c r="T15">
        <v>14</v>
      </c>
      <c r="U15">
        <v>1</v>
      </c>
      <c r="V15">
        <v>1</v>
      </c>
      <c r="Y15">
        <v>131</v>
      </c>
      <c r="Z15">
        <v>131</v>
      </c>
      <c r="AB15">
        <v>131</v>
      </c>
      <c r="AC15">
        <v>190</v>
      </c>
    </row>
    <row r="16" spans="1:29" x14ac:dyDescent="0.2">
      <c r="A16">
        <v>2</v>
      </c>
      <c r="B16">
        <v>2</v>
      </c>
      <c r="C16">
        <v>0</v>
      </c>
      <c r="D16">
        <v>0</v>
      </c>
      <c r="E16">
        <v>2</v>
      </c>
      <c r="F16" s="42">
        <v>1</v>
      </c>
      <c r="G16">
        <v>2</v>
      </c>
      <c r="H16">
        <v>0</v>
      </c>
      <c r="I16">
        <v>0</v>
      </c>
      <c r="J16">
        <v>20</v>
      </c>
      <c r="L16">
        <v>15</v>
      </c>
      <c r="M16">
        <v>89</v>
      </c>
      <c r="N16">
        <v>87.333333333333329</v>
      </c>
      <c r="P16">
        <v>15</v>
      </c>
      <c r="Q16">
        <v>0.20833333333333334</v>
      </c>
      <c r="R16">
        <v>0.13354700854700854</v>
      </c>
      <c r="T16">
        <v>15</v>
      </c>
      <c r="U16">
        <v>1</v>
      </c>
      <c r="V16">
        <v>1</v>
      </c>
      <c r="Y16">
        <v>108</v>
      </c>
      <c r="Z16">
        <v>108</v>
      </c>
      <c r="AB16">
        <v>108</v>
      </c>
      <c r="AC16">
        <v>165</v>
      </c>
    </row>
    <row r="17" spans="1:38" x14ac:dyDescent="0.2">
      <c r="A17">
        <v>0</v>
      </c>
      <c r="B17">
        <v>1</v>
      </c>
      <c r="C17">
        <v>0</v>
      </c>
      <c r="D17">
        <v>1</v>
      </c>
      <c r="E17">
        <v>2</v>
      </c>
      <c r="F17" s="42">
        <v>1</v>
      </c>
      <c r="G17">
        <v>0</v>
      </c>
      <c r="H17">
        <v>0</v>
      </c>
      <c r="I17">
        <v>0</v>
      </c>
      <c r="J17">
        <v>25</v>
      </c>
      <c r="L17">
        <v>16</v>
      </c>
      <c r="M17">
        <v>65</v>
      </c>
      <c r="N17">
        <v>65.666666666666671</v>
      </c>
      <c r="P17">
        <v>16</v>
      </c>
      <c r="Q17">
        <v>7.6923076923076927E-2</v>
      </c>
      <c r="R17">
        <v>0.10957822370865848</v>
      </c>
      <c r="T17">
        <v>16</v>
      </c>
      <c r="U17">
        <v>1</v>
      </c>
      <c r="V17">
        <v>1</v>
      </c>
      <c r="Y17">
        <v>89</v>
      </c>
      <c r="Z17">
        <v>89</v>
      </c>
      <c r="AB17">
        <v>89</v>
      </c>
      <c r="AC17">
        <v>140</v>
      </c>
    </row>
    <row r="18" spans="1:38" x14ac:dyDescent="0.2">
      <c r="A18">
        <v>1</v>
      </c>
      <c r="B18">
        <v>2</v>
      </c>
      <c r="C18">
        <v>0</v>
      </c>
      <c r="D18">
        <v>1</v>
      </c>
      <c r="E18">
        <v>2</v>
      </c>
      <c r="F18" s="42">
        <v>1</v>
      </c>
      <c r="G18">
        <v>1</v>
      </c>
      <c r="H18">
        <v>0</v>
      </c>
      <c r="I18">
        <v>0</v>
      </c>
      <c r="J18">
        <v>22</v>
      </c>
      <c r="L18">
        <v>17</v>
      </c>
      <c r="M18">
        <v>43</v>
      </c>
      <c r="N18">
        <v>45.333333333333336</v>
      </c>
      <c r="P18">
        <v>17</v>
      </c>
      <c r="Q18">
        <v>4.3478260869565216E-2</v>
      </c>
      <c r="R18">
        <v>6.0967112597547383E-2</v>
      </c>
      <c r="T18">
        <v>17</v>
      </c>
      <c r="U18">
        <v>1</v>
      </c>
      <c r="V18">
        <v>1</v>
      </c>
      <c r="Y18">
        <v>65</v>
      </c>
      <c r="Z18">
        <v>65</v>
      </c>
      <c r="AB18">
        <v>65</v>
      </c>
      <c r="AC18">
        <v>115</v>
      </c>
    </row>
    <row r="19" spans="1:38" x14ac:dyDescent="0.2">
      <c r="A19">
        <v>0</v>
      </c>
      <c r="B19">
        <v>0</v>
      </c>
      <c r="C19">
        <v>1</v>
      </c>
      <c r="D19">
        <v>0</v>
      </c>
      <c r="E19">
        <v>2</v>
      </c>
      <c r="F19" s="42">
        <v>1</v>
      </c>
      <c r="G19">
        <v>0</v>
      </c>
      <c r="H19">
        <v>0</v>
      </c>
      <c r="I19">
        <v>1</v>
      </c>
      <c r="J19">
        <v>24</v>
      </c>
      <c r="L19">
        <v>18</v>
      </c>
      <c r="M19">
        <v>28</v>
      </c>
      <c r="N19">
        <v>28</v>
      </c>
      <c r="P19">
        <v>18</v>
      </c>
      <c r="Q19">
        <v>6.25E-2</v>
      </c>
      <c r="R19">
        <v>5.6159420289855072E-2</v>
      </c>
      <c r="T19">
        <v>18</v>
      </c>
      <c r="U19">
        <v>1</v>
      </c>
      <c r="V19">
        <v>1</v>
      </c>
      <c r="Y19">
        <v>43</v>
      </c>
      <c r="Z19">
        <v>48</v>
      </c>
      <c r="AB19">
        <v>43</v>
      </c>
      <c r="AC19">
        <v>90</v>
      </c>
    </row>
    <row r="20" spans="1:38" x14ac:dyDescent="0.2">
      <c r="A20">
        <v>0</v>
      </c>
      <c r="B20">
        <v>0</v>
      </c>
      <c r="C20">
        <v>0</v>
      </c>
      <c r="D20">
        <v>0</v>
      </c>
      <c r="E20">
        <v>3</v>
      </c>
      <c r="F20" s="42">
        <v>0</v>
      </c>
      <c r="G20">
        <v>0</v>
      </c>
      <c r="H20">
        <v>9</v>
      </c>
      <c r="I20">
        <v>0</v>
      </c>
      <c r="J20">
        <v>13</v>
      </c>
      <c r="L20">
        <v>19</v>
      </c>
      <c r="M20">
        <v>13</v>
      </c>
      <c r="N20">
        <v>13.666666666666666</v>
      </c>
      <c r="P20">
        <v>19</v>
      </c>
      <c r="Q20">
        <v>6.25E-2</v>
      </c>
      <c r="R20">
        <v>6.5476190476190479E-2</v>
      </c>
      <c r="T20">
        <v>19</v>
      </c>
      <c r="U20">
        <v>1</v>
      </c>
      <c r="V20">
        <v>1</v>
      </c>
      <c r="Y20">
        <v>28</v>
      </c>
      <c r="Z20">
        <v>38</v>
      </c>
      <c r="AB20">
        <v>28</v>
      </c>
      <c r="AC20">
        <v>65</v>
      </c>
    </row>
    <row r="21" spans="1:38" x14ac:dyDescent="0.2">
      <c r="A21">
        <v>0</v>
      </c>
      <c r="B21">
        <v>0</v>
      </c>
      <c r="C21">
        <v>0</v>
      </c>
      <c r="D21">
        <v>0</v>
      </c>
      <c r="E21">
        <v>3</v>
      </c>
      <c r="F21" s="42">
        <v>0</v>
      </c>
      <c r="G21">
        <v>0</v>
      </c>
      <c r="H21">
        <v>15</v>
      </c>
      <c r="I21">
        <v>0</v>
      </c>
      <c r="J21">
        <v>0</v>
      </c>
      <c r="L21">
        <v>20</v>
      </c>
      <c r="M21">
        <v>0</v>
      </c>
      <c r="P21">
        <v>20</v>
      </c>
      <c r="Q21">
        <v>7.1428571428571425E-2</v>
      </c>
      <c r="T21">
        <v>20</v>
      </c>
      <c r="U21">
        <v>1</v>
      </c>
      <c r="Y21">
        <v>13</v>
      </c>
      <c r="Z21">
        <v>28</v>
      </c>
      <c r="AB21">
        <v>13</v>
      </c>
      <c r="AC21">
        <v>51</v>
      </c>
    </row>
    <row r="22" spans="1:38" x14ac:dyDescent="0.2">
      <c r="A22">
        <v>0</v>
      </c>
      <c r="B22">
        <v>0</v>
      </c>
      <c r="C22">
        <v>0</v>
      </c>
      <c r="D22">
        <v>0</v>
      </c>
      <c r="E22">
        <v>3</v>
      </c>
      <c r="F22" s="42">
        <v>0</v>
      </c>
      <c r="G22">
        <v>0</v>
      </c>
      <c r="H22">
        <v>15</v>
      </c>
      <c r="I22">
        <v>0</v>
      </c>
      <c r="J22">
        <v>0</v>
      </c>
      <c r="Y22">
        <v>0</v>
      </c>
      <c r="Z22">
        <v>18</v>
      </c>
      <c r="AB22">
        <v>0</v>
      </c>
      <c r="AC22">
        <v>41</v>
      </c>
    </row>
    <row r="23" spans="1:38" x14ac:dyDescent="0.2">
      <c r="A23">
        <v>0</v>
      </c>
      <c r="B23">
        <v>0</v>
      </c>
      <c r="C23">
        <v>0</v>
      </c>
      <c r="D23">
        <v>0</v>
      </c>
      <c r="E23">
        <v>3</v>
      </c>
      <c r="F23" s="42">
        <v>0</v>
      </c>
      <c r="G23">
        <v>0</v>
      </c>
      <c r="H23">
        <v>13</v>
      </c>
      <c r="I23">
        <v>0</v>
      </c>
      <c r="J23">
        <v>0</v>
      </c>
    </row>
    <row r="24" spans="1:38" x14ac:dyDescent="0.2">
      <c r="F24" s="42"/>
    </row>
    <row r="25" spans="1:38" x14ac:dyDescent="0.2">
      <c r="A25" t="s">
        <v>49</v>
      </c>
      <c r="F25" s="42"/>
    </row>
    <row r="26" spans="1:38" x14ac:dyDescent="0.2">
      <c r="F26" s="42"/>
      <c r="Y26" t="s">
        <v>12</v>
      </c>
    </row>
    <row r="27" spans="1:38" x14ac:dyDescent="0.2">
      <c r="A27">
        <v>2</v>
      </c>
      <c r="B27">
        <v>4</v>
      </c>
      <c r="C27">
        <v>1</v>
      </c>
      <c r="D27">
        <v>3</v>
      </c>
      <c r="E27">
        <v>5</v>
      </c>
      <c r="F27" s="42">
        <v>5</v>
      </c>
      <c r="G27">
        <v>2</v>
      </c>
      <c r="H27">
        <v>2</v>
      </c>
      <c r="L27" t="s">
        <v>11</v>
      </c>
      <c r="M27" t="s">
        <v>30</v>
      </c>
      <c r="N27" t="s">
        <v>28</v>
      </c>
      <c r="P27" t="s">
        <v>12</v>
      </c>
      <c r="Q27" t="s">
        <v>30</v>
      </c>
      <c r="R27" t="s">
        <v>28</v>
      </c>
      <c r="T27" t="s">
        <v>48</v>
      </c>
      <c r="U27" t="s">
        <v>30</v>
      </c>
      <c r="V27" t="s">
        <v>28</v>
      </c>
      <c r="Y27" t="s">
        <v>57</v>
      </c>
      <c r="Z27" t="s">
        <v>58</v>
      </c>
      <c r="AB27" t="s">
        <v>59</v>
      </c>
      <c r="AC27" s="35" t="s">
        <v>60</v>
      </c>
    </row>
    <row r="28" spans="1:38" x14ac:dyDescent="0.2">
      <c r="A28">
        <v>17</v>
      </c>
      <c r="B28">
        <v>15</v>
      </c>
      <c r="C28">
        <v>14</v>
      </c>
      <c r="D28">
        <v>44</v>
      </c>
      <c r="E28">
        <v>1</v>
      </c>
      <c r="F28" s="42">
        <v>2</v>
      </c>
      <c r="G28">
        <v>0</v>
      </c>
      <c r="H28">
        <v>0</v>
      </c>
      <c r="I28">
        <v>12</v>
      </c>
      <c r="J28">
        <v>0</v>
      </c>
      <c r="L28">
        <v>1</v>
      </c>
      <c r="M28">
        <v>192</v>
      </c>
      <c r="P28">
        <v>1</v>
      </c>
      <c r="Q28">
        <v>7</v>
      </c>
      <c r="T28">
        <v>1</v>
      </c>
      <c r="U28">
        <v>2.5702479338842976</v>
      </c>
      <c r="Y28">
        <v>7</v>
      </c>
      <c r="Z28">
        <v>7</v>
      </c>
      <c r="AB28">
        <v>7</v>
      </c>
      <c r="AC28">
        <v>118</v>
      </c>
    </row>
    <row r="29" spans="1:38" x14ac:dyDescent="0.2">
      <c r="A29">
        <v>14</v>
      </c>
      <c r="B29">
        <v>14</v>
      </c>
      <c r="C29">
        <v>14</v>
      </c>
      <c r="D29">
        <v>27</v>
      </c>
      <c r="E29">
        <v>1</v>
      </c>
      <c r="F29" s="42">
        <v>2</v>
      </c>
      <c r="G29">
        <v>0</v>
      </c>
      <c r="H29">
        <v>0</v>
      </c>
      <c r="I29">
        <v>12</v>
      </c>
      <c r="J29">
        <v>0</v>
      </c>
      <c r="L29">
        <v>2</v>
      </c>
      <c r="M29">
        <v>345</v>
      </c>
      <c r="N29">
        <v>320.66666666666669</v>
      </c>
      <c r="P29">
        <v>2</v>
      </c>
      <c r="Q29">
        <v>5.384615384615385</v>
      </c>
      <c r="R29">
        <v>5.4358974358974352</v>
      </c>
      <c r="T29">
        <v>2</v>
      </c>
      <c r="U29">
        <v>3.6923076923076925</v>
      </c>
      <c r="V29">
        <v>3.4977749523204067</v>
      </c>
      <c r="Y29">
        <v>5.384615384615385</v>
      </c>
      <c r="Z29">
        <v>5.384615384615385</v>
      </c>
      <c r="AB29">
        <v>5.384615384615385</v>
      </c>
      <c r="AC29">
        <v>89</v>
      </c>
    </row>
    <row r="30" spans="1:38" x14ac:dyDescent="0.2">
      <c r="A30">
        <v>10</v>
      </c>
      <c r="B30">
        <v>7</v>
      </c>
      <c r="C30">
        <v>9</v>
      </c>
      <c r="D30">
        <v>24</v>
      </c>
      <c r="E30">
        <v>1</v>
      </c>
      <c r="F30" s="42">
        <v>2</v>
      </c>
      <c r="G30">
        <v>0</v>
      </c>
      <c r="H30">
        <v>0</v>
      </c>
      <c r="I30">
        <v>12</v>
      </c>
      <c r="J30">
        <v>0</v>
      </c>
      <c r="L30">
        <v>3</v>
      </c>
      <c r="M30">
        <v>425</v>
      </c>
      <c r="N30">
        <v>412.66666666666669</v>
      </c>
      <c r="P30">
        <v>3</v>
      </c>
      <c r="Q30">
        <v>3.9230769230769229</v>
      </c>
      <c r="R30">
        <v>4.584045584045584</v>
      </c>
      <c r="T30">
        <v>3</v>
      </c>
      <c r="U30">
        <v>4.2307692307692308</v>
      </c>
      <c r="V30">
        <v>4.6039886039886042</v>
      </c>
      <c r="Y30">
        <v>3.9230769230769229</v>
      </c>
      <c r="Z30">
        <v>3.9230769230769229</v>
      </c>
      <c r="AB30">
        <v>3.9230769230769229</v>
      </c>
      <c r="AC30">
        <v>57</v>
      </c>
    </row>
    <row r="31" spans="1:38" x14ac:dyDescent="0.2">
      <c r="A31">
        <v>6</v>
      </c>
      <c r="B31">
        <v>4</v>
      </c>
      <c r="C31">
        <v>4</v>
      </c>
      <c r="D31">
        <v>25</v>
      </c>
      <c r="E31">
        <v>1</v>
      </c>
      <c r="F31" s="42">
        <v>2</v>
      </c>
      <c r="G31">
        <v>3</v>
      </c>
      <c r="H31">
        <v>0</v>
      </c>
      <c r="I31">
        <v>5</v>
      </c>
      <c r="J31">
        <v>0</v>
      </c>
      <c r="L31">
        <v>4</v>
      </c>
      <c r="M31">
        <v>468</v>
      </c>
      <c r="N31">
        <v>444.66666666666669</v>
      </c>
      <c r="P31">
        <v>4</v>
      </c>
      <c r="Q31">
        <v>4.4444444444444446</v>
      </c>
      <c r="R31">
        <v>3.193935693935694</v>
      </c>
      <c r="T31">
        <v>4</v>
      </c>
      <c r="U31">
        <v>5.8888888888888893</v>
      </c>
      <c r="V31">
        <v>4.7898860398860394</v>
      </c>
      <c r="Y31">
        <v>4.4444444444444446</v>
      </c>
      <c r="Z31">
        <v>4.4444444444444446</v>
      </c>
      <c r="AB31">
        <v>4.4444444444444446</v>
      </c>
      <c r="AC31">
        <v>37</v>
      </c>
      <c r="AL31">
        <v>1</v>
      </c>
    </row>
    <row r="32" spans="1:38" x14ac:dyDescent="0.2">
      <c r="A32">
        <v>3</v>
      </c>
      <c r="B32">
        <v>1</v>
      </c>
      <c r="C32">
        <v>3</v>
      </c>
      <c r="D32">
        <v>9</v>
      </c>
      <c r="E32">
        <v>2</v>
      </c>
      <c r="F32" s="42">
        <v>1</v>
      </c>
      <c r="G32">
        <v>8</v>
      </c>
      <c r="H32">
        <v>0</v>
      </c>
      <c r="I32">
        <v>3</v>
      </c>
      <c r="J32">
        <v>2</v>
      </c>
      <c r="L32">
        <v>5</v>
      </c>
      <c r="M32">
        <v>441</v>
      </c>
      <c r="N32">
        <v>433</v>
      </c>
      <c r="P32">
        <v>5</v>
      </c>
      <c r="Q32">
        <v>1.2142857142857142</v>
      </c>
      <c r="R32">
        <v>2.1481481481481484</v>
      </c>
      <c r="T32">
        <v>5</v>
      </c>
      <c r="U32">
        <v>4.25</v>
      </c>
      <c r="V32">
        <v>4.5740740740740744</v>
      </c>
      <c r="Y32">
        <v>1.2142857142857142</v>
      </c>
      <c r="Z32">
        <v>1.2142857142857142</v>
      </c>
      <c r="AB32">
        <v>1.2142857142857142</v>
      </c>
      <c r="AC32">
        <v>0.42307692307692307</v>
      </c>
      <c r="AL32">
        <v>2</v>
      </c>
    </row>
    <row r="33" spans="1:38" x14ac:dyDescent="0.2">
      <c r="A33">
        <v>0</v>
      </c>
      <c r="B33">
        <v>2</v>
      </c>
      <c r="C33">
        <v>3</v>
      </c>
      <c r="D33">
        <v>5</v>
      </c>
      <c r="E33">
        <v>2</v>
      </c>
      <c r="F33" s="42">
        <v>1</v>
      </c>
      <c r="G33">
        <v>8</v>
      </c>
      <c r="H33">
        <v>0</v>
      </c>
      <c r="I33">
        <v>3</v>
      </c>
      <c r="J33">
        <v>2</v>
      </c>
      <c r="L33">
        <v>6</v>
      </c>
      <c r="M33">
        <v>390</v>
      </c>
      <c r="N33">
        <v>390</v>
      </c>
      <c r="P33">
        <v>6</v>
      </c>
      <c r="Q33">
        <v>0.7857142857142857</v>
      </c>
      <c r="R33">
        <v>0.91666666666666663</v>
      </c>
      <c r="T33">
        <v>6</v>
      </c>
      <c r="U33">
        <v>3.5833333333333335</v>
      </c>
      <c r="V33">
        <v>3.6414141414141419</v>
      </c>
      <c r="Y33">
        <v>0.7857142857142857</v>
      </c>
      <c r="Z33">
        <v>0.7857142857142857</v>
      </c>
      <c r="AB33">
        <v>0.7857142857142857</v>
      </c>
      <c r="AC33">
        <v>0.30769230769230771</v>
      </c>
      <c r="AL33">
        <v>3</v>
      </c>
    </row>
    <row r="34" spans="1:38" x14ac:dyDescent="0.2">
      <c r="A34">
        <v>1</v>
      </c>
      <c r="B34">
        <v>1</v>
      </c>
      <c r="C34">
        <v>1</v>
      </c>
      <c r="D34">
        <v>5</v>
      </c>
      <c r="E34">
        <v>2</v>
      </c>
      <c r="F34" s="42">
        <v>1</v>
      </c>
      <c r="G34">
        <v>9</v>
      </c>
      <c r="H34">
        <v>0</v>
      </c>
      <c r="I34">
        <v>1</v>
      </c>
      <c r="J34">
        <v>1</v>
      </c>
      <c r="L34">
        <v>7</v>
      </c>
      <c r="M34">
        <v>339</v>
      </c>
      <c r="N34">
        <v>342</v>
      </c>
      <c r="P34">
        <v>7</v>
      </c>
      <c r="Q34">
        <v>0.75</v>
      </c>
      <c r="R34">
        <v>0.70238095238095222</v>
      </c>
      <c r="T34">
        <v>7</v>
      </c>
      <c r="U34">
        <v>3.0909090909090908</v>
      </c>
      <c r="V34">
        <v>3.0303030303030298</v>
      </c>
      <c r="Y34">
        <v>0.75</v>
      </c>
      <c r="Z34">
        <v>0.75</v>
      </c>
      <c r="AB34">
        <v>0.75</v>
      </c>
      <c r="AC34">
        <v>0.23529411764705882</v>
      </c>
      <c r="AL34">
        <v>4</v>
      </c>
    </row>
    <row r="35" spans="1:38" x14ac:dyDescent="0.2">
      <c r="A35">
        <v>2</v>
      </c>
      <c r="B35">
        <v>0</v>
      </c>
      <c r="C35">
        <v>3</v>
      </c>
      <c r="D35">
        <v>2</v>
      </c>
      <c r="E35">
        <v>2</v>
      </c>
      <c r="F35" s="42">
        <v>1</v>
      </c>
      <c r="G35">
        <v>8</v>
      </c>
      <c r="H35">
        <v>0</v>
      </c>
      <c r="I35">
        <v>3</v>
      </c>
      <c r="J35">
        <v>2</v>
      </c>
      <c r="L35">
        <v>8</v>
      </c>
      <c r="M35">
        <v>297</v>
      </c>
      <c r="N35">
        <v>295.66666666666669</v>
      </c>
      <c r="P35">
        <v>8</v>
      </c>
      <c r="Q35">
        <v>0.5714285714285714</v>
      </c>
      <c r="R35">
        <v>0.66269841269841268</v>
      </c>
      <c r="T35">
        <v>8</v>
      </c>
      <c r="U35">
        <v>2.4166666666666665</v>
      </c>
      <c r="V35">
        <v>2.4469696969696968</v>
      </c>
      <c r="Y35">
        <v>0.5714285714285714</v>
      </c>
      <c r="Z35">
        <v>0.5714285714285714</v>
      </c>
      <c r="AB35">
        <v>0.5714285714285714</v>
      </c>
      <c r="AC35">
        <v>0.25</v>
      </c>
      <c r="AL35">
        <v>5</v>
      </c>
    </row>
    <row r="36" spans="1:38" x14ac:dyDescent="0.2">
      <c r="A36">
        <v>2</v>
      </c>
      <c r="B36">
        <v>1</v>
      </c>
      <c r="C36">
        <v>2</v>
      </c>
      <c r="D36">
        <v>2</v>
      </c>
      <c r="E36">
        <v>2</v>
      </c>
      <c r="F36" s="42">
        <v>1</v>
      </c>
      <c r="G36">
        <v>9</v>
      </c>
      <c r="H36">
        <v>0</v>
      </c>
      <c r="I36">
        <v>2</v>
      </c>
      <c r="J36">
        <v>0</v>
      </c>
      <c r="L36">
        <v>9</v>
      </c>
      <c r="M36">
        <v>251</v>
      </c>
      <c r="N36">
        <v>252.66666666666666</v>
      </c>
      <c r="P36">
        <v>9</v>
      </c>
      <c r="Q36">
        <v>0.66666666666666663</v>
      </c>
      <c r="R36">
        <v>0.62698412698412698</v>
      </c>
      <c r="T36">
        <v>9</v>
      </c>
      <c r="U36">
        <v>1.8333333333333333</v>
      </c>
      <c r="V36">
        <v>1.8611111111111109</v>
      </c>
      <c r="Y36">
        <v>0.66666666666666663</v>
      </c>
      <c r="Z36">
        <v>0.66666666666666663</v>
      </c>
      <c r="AB36">
        <v>0.66666666666666663</v>
      </c>
      <c r="AC36">
        <v>0.45454545454545453</v>
      </c>
    </row>
    <row r="37" spans="1:38" x14ac:dyDescent="0.2">
      <c r="A37">
        <v>2</v>
      </c>
      <c r="B37">
        <v>1</v>
      </c>
      <c r="C37">
        <v>3</v>
      </c>
      <c r="D37">
        <v>2</v>
      </c>
      <c r="E37">
        <v>2</v>
      </c>
      <c r="F37" s="42">
        <v>1</v>
      </c>
      <c r="G37">
        <v>8</v>
      </c>
      <c r="H37">
        <v>0</v>
      </c>
      <c r="I37">
        <v>3</v>
      </c>
      <c r="J37">
        <v>2</v>
      </c>
      <c r="L37">
        <v>10</v>
      </c>
      <c r="M37">
        <v>210</v>
      </c>
      <c r="N37">
        <v>211</v>
      </c>
      <c r="P37">
        <v>10</v>
      </c>
      <c r="Q37">
        <v>0.6428571428571429</v>
      </c>
      <c r="R37">
        <v>0.51058201058201058</v>
      </c>
      <c r="T37">
        <v>10</v>
      </c>
      <c r="U37">
        <v>1.3333333333333333</v>
      </c>
      <c r="V37">
        <v>1.3888888888888886</v>
      </c>
      <c r="Y37">
        <v>0.6428571428571429</v>
      </c>
      <c r="Z37">
        <v>0.6428571428571429</v>
      </c>
      <c r="AB37">
        <v>0.6428571428571429</v>
      </c>
      <c r="AC37">
        <v>0.27272727272727271</v>
      </c>
    </row>
    <row r="38" spans="1:38" x14ac:dyDescent="0.2">
      <c r="A38">
        <v>1</v>
      </c>
      <c r="B38">
        <v>1</v>
      </c>
      <c r="C38">
        <v>0</v>
      </c>
      <c r="D38">
        <v>1</v>
      </c>
      <c r="E38">
        <v>2</v>
      </c>
      <c r="F38" s="42">
        <v>1</v>
      </c>
      <c r="G38">
        <v>5</v>
      </c>
      <c r="H38">
        <v>0</v>
      </c>
      <c r="I38">
        <v>0</v>
      </c>
      <c r="J38">
        <v>12</v>
      </c>
      <c r="L38">
        <v>11</v>
      </c>
      <c r="M38">
        <v>172</v>
      </c>
      <c r="N38">
        <v>177</v>
      </c>
      <c r="P38">
        <v>11</v>
      </c>
      <c r="Q38">
        <v>0.22222222222222221</v>
      </c>
      <c r="R38">
        <v>0.32682132682132686</v>
      </c>
      <c r="T38">
        <v>11</v>
      </c>
      <c r="U38">
        <v>1</v>
      </c>
      <c r="V38">
        <v>1.1111111111111109</v>
      </c>
      <c r="Y38">
        <v>0.22222222222222221</v>
      </c>
      <c r="Z38">
        <v>0.22222222222222221</v>
      </c>
      <c r="AB38">
        <v>0.22222222222222221</v>
      </c>
      <c r="AC38">
        <v>0.45454545454545453</v>
      </c>
    </row>
    <row r="39" spans="1:38" x14ac:dyDescent="0.2">
      <c r="A39">
        <v>0</v>
      </c>
      <c r="B39">
        <v>0</v>
      </c>
      <c r="C39">
        <v>1</v>
      </c>
      <c r="D39">
        <v>1</v>
      </c>
      <c r="E39">
        <v>2</v>
      </c>
      <c r="F39" s="42">
        <v>1</v>
      </c>
      <c r="G39">
        <v>0</v>
      </c>
      <c r="H39">
        <v>0</v>
      </c>
      <c r="I39">
        <v>1</v>
      </c>
      <c r="J39">
        <v>24</v>
      </c>
      <c r="L39">
        <v>12</v>
      </c>
      <c r="M39">
        <v>149</v>
      </c>
      <c r="N39">
        <v>150.66666666666666</v>
      </c>
      <c r="P39">
        <v>12</v>
      </c>
      <c r="Q39">
        <v>0.11538461538461539</v>
      </c>
      <c r="R39">
        <v>0.18499938065155455</v>
      </c>
      <c r="T39">
        <v>12</v>
      </c>
      <c r="U39">
        <v>1</v>
      </c>
      <c r="V39">
        <v>1</v>
      </c>
      <c r="Y39">
        <v>0.11538461538461539</v>
      </c>
      <c r="Z39">
        <v>0.11538461538461539</v>
      </c>
      <c r="AB39">
        <v>0.11538461538461539</v>
      </c>
      <c r="AC39">
        <v>0.16666666666666666</v>
      </c>
    </row>
    <row r="40" spans="1:38" x14ac:dyDescent="0.2">
      <c r="A40">
        <v>2</v>
      </c>
      <c r="B40">
        <v>2</v>
      </c>
      <c r="C40">
        <v>0</v>
      </c>
      <c r="D40">
        <v>0</v>
      </c>
      <c r="E40">
        <v>2</v>
      </c>
      <c r="F40" s="42">
        <v>1</v>
      </c>
      <c r="G40">
        <v>2</v>
      </c>
      <c r="H40">
        <v>0</v>
      </c>
      <c r="I40">
        <v>0</v>
      </c>
      <c r="J40">
        <v>20</v>
      </c>
      <c r="L40">
        <v>13</v>
      </c>
      <c r="M40">
        <v>131</v>
      </c>
      <c r="N40">
        <v>129.33333333333334</v>
      </c>
      <c r="P40">
        <v>13</v>
      </c>
      <c r="Q40">
        <v>0.21739130434782608</v>
      </c>
      <c r="R40">
        <v>0.14938684503901897</v>
      </c>
      <c r="T40">
        <v>13</v>
      </c>
      <c r="U40">
        <v>1</v>
      </c>
      <c r="V40">
        <v>1</v>
      </c>
      <c r="Y40">
        <v>0.21739130434782608</v>
      </c>
      <c r="Z40">
        <v>0.21739130434782608</v>
      </c>
      <c r="AB40">
        <v>0.21739130434782608</v>
      </c>
      <c r="AC40">
        <v>4.3478260869565216E-2</v>
      </c>
    </row>
    <row r="41" spans="1:38" x14ac:dyDescent="0.2">
      <c r="A41">
        <v>0</v>
      </c>
      <c r="B41">
        <v>1</v>
      </c>
      <c r="C41">
        <v>0</v>
      </c>
      <c r="D41">
        <v>1</v>
      </c>
      <c r="E41">
        <v>2</v>
      </c>
      <c r="F41" s="42">
        <v>1</v>
      </c>
      <c r="G41">
        <v>0</v>
      </c>
      <c r="H41">
        <v>0</v>
      </c>
      <c r="I41">
        <v>0</v>
      </c>
      <c r="J41">
        <v>25</v>
      </c>
      <c r="L41">
        <v>14</v>
      </c>
      <c r="M41">
        <v>108</v>
      </c>
      <c r="N41">
        <v>109.33333333333333</v>
      </c>
      <c r="P41">
        <v>14</v>
      </c>
      <c r="Q41">
        <v>0.11538461538461539</v>
      </c>
      <c r="R41">
        <v>0.18036975102192496</v>
      </c>
      <c r="T41">
        <v>14</v>
      </c>
      <c r="U41">
        <v>1</v>
      </c>
      <c r="V41">
        <v>1</v>
      </c>
      <c r="Y41">
        <v>0.11538461538461539</v>
      </c>
      <c r="Z41">
        <v>0.11538461538461539</v>
      </c>
      <c r="AB41">
        <v>0.11538461538461539</v>
      </c>
      <c r="AC41">
        <v>3.8461538461538464E-2</v>
      </c>
    </row>
    <row r="42" spans="1:38" x14ac:dyDescent="0.2">
      <c r="A42">
        <v>1</v>
      </c>
      <c r="B42">
        <v>2</v>
      </c>
      <c r="C42">
        <v>0</v>
      </c>
      <c r="D42">
        <v>1</v>
      </c>
      <c r="E42">
        <v>2</v>
      </c>
      <c r="F42" s="42">
        <v>1</v>
      </c>
      <c r="G42">
        <v>1</v>
      </c>
      <c r="H42">
        <v>0</v>
      </c>
      <c r="I42">
        <v>0</v>
      </c>
      <c r="J42">
        <v>22</v>
      </c>
      <c r="L42">
        <v>15</v>
      </c>
      <c r="M42">
        <v>89</v>
      </c>
      <c r="N42">
        <v>87.333333333333329</v>
      </c>
      <c r="P42">
        <v>15</v>
      </c>
      <c r="Q42">
        <v>0.20833333333333334</v>
      </c>
      <c r="R42">
        <v>0.13354700854700854</v>
      </c>
      <c r="T42">
        <v>15</v>
      </c>
      <c r="U42">
        <v>1</v>
      </c>
      <c r="V42">
        <v>1</v>
      </c>
      <c r="Y42">
        <v>0.20833333333333334</v>
      </c>
      <c r="Z42">
        <v>0.20833333333333334</v>
      </c>
      <c r="AB42">
        <v>0.20833333333333334</v>
      </c>
      <c r="AC42">
        <v>3.8461538461538464E-2</v>
      </c>
    </row>
    <row r="43" spans="1:38" x14ac:dyDescent="0.2">
      <c r="A43">
        <v>0</v>
      </c>
      <c r="B43">
        <v>0</v>
      </c>
      <c r="C43">
        <v>1</v>
      </c>
      <c r="D43">
        <v>0</v>
      </c>
      <c r="E43">
        <v>2</v>
      </c>
      <c r="F43" s="42">
        <v>1</v>
      </c>
      <c r="G43">
        <v>0</v>
      </c>
      <c r="H43">
        <v>0</v>
      </c>
      <c r="I43">
        <v>1</v>
      </c>
      <c r="J43">
        <v>24</v>
      </c>
      <c r="L43">
        <v>16</v>
      </c>
      <c r="M43">
        <v>65</v>
      </c>
      <c r="N43">
        <v>67.333333333333329</v>
      </c>
      <c r="P43">
        <v>16</v>
      </c>
      <c r="Q43">
        <v>7.6923076923076927E-2</v>
      </c>
      <c r="R43">
        <v>0.11360398860398861</v>
      </c>
      <c r="T43">
        <v>16</v>
      </c>
      <c r="U43">
        <v>1</v>
      </c>
      <c r="V43">
        <v>1</v>
      </c>
      <c r="Y43">
        <v>7.6923076923076927E-2</v>
      </c>
      <c r="Z43">
        <v>7.6923076923076927E-2</v>
      </c>
      <c r="AB43">
        <v>7.6923076923076927E-2</v>
      </c>
      <c r="AC43">
        <v>3.8461538461538464E-2</v>
      </c>
    </row>
    <row r="44" spans="1:38" x14ac:dyDescent="0.2">
      <c r="A44">
        <v>0</v>
      </c>
      <c r="B44">
        <v>0</v>
      </c>
      <c r="C44">
        <v>0</v>
      </c>
      <c r="D44">
        <v>0</v>
      </c>
      <c r="E44">
        <v>2</v>
      </c>
      <c r="F44" s="42">
        <v>1</v>
      </c>
      <c r="G44">
        <v>0</v>
      </c>
      <c r="H44">
        <v>4</v>
      </c>
      <c r="I44">
        <v>0</v>
      </c>
      <c r="J44">
        <v>13</v>
      </c>
      <c r="L44">
        <v>17</v>
      </c>
      <c r="M44">
        <v>48</v>
      </c>
      <c r="N44">
        <v>50.333333333333336</v>
      </c>
      <c r="P44">
        <v>17</v>
      </c>
      <c r="Q44">
        <v>5.5555555555555552E-2</v>
      </c>
      <c r="R44">
        <v>7.4462574462574468E-2</v>
      </c>
      <c r="T44">
        <v>17</v>
      </c>
      <c r="U44">
        <v>1</v>
      </c>
      <c r="V44">
        <v>1</v>
      </c>
      <c r="Y44">
        <v>4.3478260869565216E-2</v>
      </c>
      <c r="Z44">
        <v>5.5555555555555552E-2</v>
      </c>
      <c r="AB44">
        <v>4.3478260869565216E-2</v>
      </c>
      <c r="AC44">
        <v>3.8461538461538464E-2</v>
      </c>
    </row>
    <row r="45" spans="1:38" x14ac:dyDescent="0.2">
      <c r="A45">
        <v>0</v>
      </c>
      <c r="B45">
        <v>0</v>
      </c>
      <c r="C45">
        <v>0</v>
      </c>
      <c r="D45">
        <v>0</v>
      </c>
      <c r="E45">
        <v>2</v>
      </c>
      <c r="F45" s="42">
        <v>1</v>
      </c>
      <c r="G45">
        <v>0</v>
      </c>
      <c r="H45">
        <v>10</v>
      </c>
      <c r="I45">
        <v>0</v>
      </c>
      <c r="J45">
        <v>0</v>
      </c>
      <c r="L45">
        <v>18</v>
      </c>
      <c r="M45">
        <v>38</v>
      </c>
      <c r="N45">
        <v>38</v>
      </c>
      <c r="P45">
        <v>18</v>
      </c>
      <c r="Q45">
        <v>9.0909090909090912E-2</v>
      </c>
      <c r="R45">
        <v>7.9124579124579125E-2</v>
      </c>
      <c r="T45">
        <v>18</v>
      </c>
      <c r="U45">
        <v>1</v>
      </c>
      <c r="V45">
        <v>1</v>
      </c>
      <c r="Y45">
        <v>6.25E-2</v>
      </c>
      <c r="Z45">
        <v>9.0909090909090912E-2</v>
      </c>
      <c r="AB45">
        <v>6.25E-2</v>
      </c>
      <c r="AC45">
        <v>3.8461538461538464E-2</v>
      </c>
    </row>
    <row r="46" spans="1:38" x14ac:dyDescent="0.2">
      <c r="A46">
        <v>0</v>
      </c>
      <c r="B46">
        <v>0</v>
      </c>
      <c r="C46">
        <v>0</v>
      </c>
      <c r="D46">
        <v>0</v>
      </c>
      <c r="E46">
        <v>2</v>
      </c>
      <c r="F46" s="42">
        <v>1</v>
      </c>
      <c r="G46">
        <v>0</v>
      </c>
      <c r="H46">
        <v>10</v>
      </c>
      <c r="I46">
        <v>0</v>
      </c>
      <c r="J46">
        <v>0</v>
      </c>
      <c r="L46">
        <v>19</v>
      </c>
      <c r="M46">
        <v>28</v>
      </c>
      <c r="N46">
        <v>28</v>
      </c>
      <c r="P46">
        <v>19</v>
      </c>
      <c r="Q46">
        <v>9.0909090909090912E-2</v>
      </c>
      <c r="R46">
        <v>9.0909090909090898E-2</v>
      </c>
      <c r="T46">
        <v>19</v>
      </c>
      <c r="U46">
        <v>1</v>
      </c>
      <c r="V46">
        <v>1</v>
      </c>
      <c r="Y46">
        <v>6.25E-2</v>
      </c>
      <c r="Z46">
        <v>9.0909090909090912E-2</v>
      </c>
      <c r="AB46">
        <v>6.25E-2</v>
      </c>
      <c r="AC46">
        <v>6.6666666666666666E-2</v>
      </c>
    </row>
    <row r="47" spans="1:38" x14ac:dyDescent="0.2">
      <c r="A47">
        <v>0</v>
      </c>
      <c r="B47">
        <v>0</v>
      </c>
      <c r="C47">
        <v>0</v>
      </c>
      <c r="D47">
        <v>0</v>
      </c>
      <c r="E47">
        <v>2</v>
      </c>
      <c r="F47" s="42">
        <v>1</v>
      </c>
      <c r="G47">
        <v>0</v>
      </c>
      <c r="H47">
        <v>10</v>
      </c>
      <c r="I47">
        <v>0</v>
      </c>
      <c r="J47">
        <v>0</v>
      </c>
      <c r="L47">
        <v>20</v>
      </c>
      <c r="M47">
        <v>18</v>
      </c>
      <c r="P47">
        <v>20</v>
      </c>
      <c r="Q47">
        <v>9.0909090909090912E-2</v>
      </c>
      <c r="T47">
        <v>20</v>
      </c>
      <c r="U47">
        <v>1</v>
      </c>
      <c r="Y47">
        <v>7.1428571428571425E-2</v>
      </c>
      <c r="Z47">
        <v>9.0909090909090912E-2</v>
      </c>
      <c r="AB47">
        <v>7.1428571428571425E-2</v>
      </c>
      <c r="AC47">
        <v>9.0909090909090912E-2</v>
      </c>
    </row>
    <row r="48" spans="1:38" x14ac:dyDescent="0.2">
      <c r="F48" s="42"/>
    </row>
    <row r="49" spans="1:29" x14ac:dyDescent="0.2">
      <c r="A49" t="s">
        <v>50</v>
      </c>
      <c r="F49" s="42"/>
    </row>
    <row r="50" spans="1:29" x14ac:dyDescent="0.2">
      <c r="F50" s="42"/>
      <c r="Y50" t="s">
        <v>48</v>
      </c>
    </row>
    <row r="51" spans="1:29" x14ac:dyDescent="0.2">
      <c r="A51">
        <v>2</v>
      </c>
      <c r="B51">
        <v>4</v>
      </c>
      <c r="C51">
        <v>1</v>
      </c>
      <c r="D51">
        <v>3</v>
      </c>
      <c r="E51">
        <v>5</v>
      </c>
      <c r="F51" s="42">
        <v>5</v>
      </c>
      <c r="G51">
        <v>2</v>
      </c>
      <c r="H51">
        <v>2</v>
      </c>
      <c r="L51" t="s">
        <v>11</v>
      </c>
      <c r="M51" t="s">
        <v>30</v>
      </c>
      <c r="N51" t="s">
        <v>28</v>
      </c>
      <c r="P51" t="s">
        <v>12</v>
      </c>
      <c r="Q51" t="s">
        <v>30</v>
      </c>
      <c r="R51" t="s">
        <v>28</v>
      </c>
      <c r="T51" t="s">
        <v>48</v>
      </c>
      <c r="U51" t="s">
        <v>30</v>
      </c>
      <c r="V51" t="s">
        <v>28</v>
      </c>
      <c r="Y51" t="s">
        <v>57</v>
      </c>
      <c r="Z51" t="s">
        <v>58</v>
      </c>
      <c r="AB51" t="s">
        <v>59</v>
      </c>
      <c r="AC51" s="35" t="s">
        <v>60</v>
      </c>
    </row>
    <row r="52" spans="1:29" x14ac:dyDescent="0.2">
      <c r="A52">
        <v>24</v>
      </c>
      <c r="B52">
        <v>19</v>
      </c>
      <c r="C52">
        <v>22</v>
      </c>
      <c r="D52">
        <v>52</v>
      </c>
      <c r="E52">
        <v>0</v>
      </c>
      <c r="F52" s="42">
        <v>3</v>
      </c>
      <c r="G52">
        <v>0</v>
      </c>
      <c r="H52">
        <v>0</v>
      </c>
      <c r="I52">
        <v>0</v>
      </c>
      <c r="J52">
        <v>0</v>
      </c>
      <c r="L52">
        <v>1</v>
      </c>
      <c r="M52">
        <v>393</v>
      </c>
      <c r="P52">
        <v>1</v>
      </c>
      <c r="Q52">
        <v>118</v>
      </c>
      <c r="T52">
        <v>1</v>
      </c>
      <c r="U52">
        <v>461</v>
      </c>
      <c r="Y52">
        <v>2.5702479338842976</v>
      </c>
      <c r="Z52">
        <v>2.5702479338842976</v>
      </c>
      <c r="AB52">
        <v>2.5702479338842976</v>
      </c>
      <c r="AC52">
        <v>461</v>
      </c>
    </row>
    <row r="53" spans="1:29" x14ac:dyDescent="0.2">
      <c r="A53">
        <v>15</v>
      </c>
      <c r="B53">
        <v>16</v>
      </c>
      <c r="C53">
        <v>15</v>
      </c>
      <c r="D53">
        <v>42</v>
      </c>
      <c r="E53">
        <v>0</v>
      </c>
      <c r="F53" s="42">
        <v>3</v>
      </c>
      <c r="G53">
        <v>0</v>
      </c>
      <c r="H53">
        <v>0</v>
      </c>
      <c r="I53">
        <v>0</v>
      </c>
      <c r="J53">
        <v>0</v>
      </c>
      <c r="L53">
        <v>2</v>
      </c>
      <c r="M53">
        <v>661</v>
      </c>
      <c r="N53">
        <v>630.33333333333337</v>
      </c>
      <c r="P53">
        <v>2</v>
      </c>
      <c r="Q53">
        <v>89</v>
      </c>
      <c r="R53">
        <v>88</v>
      </c>
      <c r="T53">
        <v>2</v>
      </c>
      <c r="U53">
        <v>77</v>
      </c>
      <c r="V53">
        <v>211.66666666666666</v>
      </c>
      <c r="Y53">
        <v>3.6923076923076925</v>
      </c>
      <c r="Z53">
        <v>3.6923076923076925</v>
      </c>
      <c r="AB53">
        <v>3.6923076923076925</v>
      </c>
      <c r="AC53">
        <v>77</v>
      </c>
    </row>
    <row r="54" spans="1:29" x14ac:dyDescent="0.2">
      <c r="A54">
        <v>8</v>
      </c>
      <c r="B54">
        <v>8</v>
      </c>
      <c r="C54">
        <v>12</v>
      </c>
      <c r="D54">
        <v>28</v>
      </c>
      <c r="E54">
        <v>0</v>
      </c>
      <c r="F54" s="42">
        <v>3</v>
      </c>
      <c r="G54">
        <v>0</v>
      </c>
      <c r="H54">
        <v>0</v>
      </c>
      <c r="I54">
        <v>0</v>
      </c>
      <c r="J54">
        <v>0</v>
      </c>
      <c r="L54">
        <v>3</v>
      </c>
      <c r="M54">
        <v>837</v>
      </c>
      <c r="N54">
        <v>808.33333333333337</v>
      </c>
      <c r="P54">
        <v>3</v>
      </c>
      <c r="Q54">
        <v>57</v>
      </c>
      <c r="R54">
        <v>61</v>
      </c>
      <c r="T54">
        <v>3</v>
      </c>
      <c r="U54">
        <v>97</v>
      </c>
      <c r="V54">
        <v>93.333333333333329</v>
      </c>
      <c r="Y54">
        <v>4.2307692307692308</v>
      </c>
      <c r="Z54">
        <v>4.2307692307692308</v>
      </c>
      <c r="AB54">
        <v>4.2307692307692308</v>
      </c>
      <c r="AC54">
        <v>97</v>
      </c>
    </row>
    <row r="55" spans="1:29" x14ac:dyDescent="0.2">
      <c r="A55">
        <v>3</v>
      </c>
      <c r="B55">
        <v>5</v>
      </c>
      <c r="C55">
        <v>6</v>
      </c>
      <c r="D55">
        <v>22</v>
      </c>
      <c r="E55">
        <v>0</v>
      </c>
      <c r="F55" s="42">
        <v>3</v>
      </c>
      <c r="G55">
        <v>0</v>
      </c>
      <c r="H55">
        <v>0</v>
      </c>
      <c r="I55">
        <v>0</v>
      </c>
      <c r="J55">
        <v>0</v>
      </c>
      <c r="L55">
        <v>4</v>
      </c>
      <c r="M55">
        <v>927</v>
      </c>
      <c r="N55">
        <v>848</v>
      </c>
      <c r="P55">
        <v>4</v>
      </c>
      <c r="Q55">
        <v>37</v>
      </c>
      <c r="R55">
        <v>31.474358974358974</v>
      </c>
      <c r="T55">
        <v>4</v>
      </c>
      <c r="U55">
        <v>106</v>
      </c>
      <c r="V55">
        <v>69.064102564102555</v>
      </c>
      <c r="Y55">
        <v>5.8888888888888893</v>
      </c>
      <c r="Z55">
        <v>5.8888888888888893</v>
      </c>
      <c r="AB55">
        <v>5.8888888888888893</v>
      </c>
      <c r="AC55">
        <v>106</v>
      </c>
    </row>
    <row r="56" spans="1:29" x14ac:dyDescent="0.2">
      <c r="A56">
        <v>0</v>
      </c>
      <c r="B56">
        <v>2</v>
      </c>
      <c r="C56">
        <v>3</v>
      </c>
      <c r="D56">
        <v>5</v>
      </c>
      <c r="E56">
        <v>2</v>
      </c>
      <c r="F56" s="42">
        <v>1</v>
      </c>
      <c r="G56">
        <v>0</v>
      </c>
      <c r="H56">
        <v>0</v>
      </c>
      <c r="I56">
        <v>25</v>
      </c>
      <c r="J56">
        <v>0</v>
      </c>
      <c r="L56">
        <v>5</v>
      </c>
      <c r="M56">
        <v>780</v>
      </c>
      <c r="N56">
        <v>781</v>
      </c>
      <c r="P56">
        <v>5</v>
      </c>
      <c r="Q56">
        <v>0.42307692307692307</v>
      </c>
      <c r="R56">
        <v>12.576923076923075</v>
      </c>
      <c r="T56">
        <v>5</v>
      </c>
      <c r="U56">
        <v>4.1923076923076925</v>
      </c>
      <c r="V56">
        <v>37.858974358974358</v>
      </c>
      <c r="Y56">
        <v>4.25</v>
      </c>
      <c r="Z56">
        <v>4.25</v>
      </c>
      <c r="AB56">
        <v>4.25</v>
      </c>
      <c r="AC56">
        <v>4.1923076923076925</v>
      </c>
    </row>
    <row r="57" spans="1:29" x14ac:dyDescent="0.2">
      <c r="A57">
        <v>2</v>
      </c>
      <c r="B57">
        <v>1</v>
      </c>
      <c r="C57">
        <v>2</v>
      </c>
      <c r="D57">
        <v>2</v>
      </c>
      <c r="E57">
        <v>2</v>
      </c>
      <c r="F57" s="42">
        <v>1</v>
      </c>
      <c r="G57">
        <v>0</v>
      </c>
      <c r="H57">
        <v>0</v>
      </c>
      <c r="I57">
        <v>25</v>
      </c>
      <c r="J57">
        <v>0</v>
      </c>
      <c r="L57">
        <v>6</v>
      </c>
      <c r="M57">
        <v>636</v>
      </c>
      <c r="N57">
        <v>649.66666666666663</v>
      </c>
      <c r="P57">
        <v>6</v>
      </c>
      <c r="Q57">
        <v>0.30769230769230771</v>
      </c>
      <c r="R57">
        <v>0.32202111613876322</v>
      </c>
      <c r="T57">
        <v>6</v>
      </c>
      <c r="U57">
        <v>3.3846153846153846</v>
      </c>
      <c r="V57">
        <v>3.7805429864253397</v>
      </c>
      <c r="Y57">
        <v>3.5833333333333335</v>
      </c>
      <c r="Z57">
        <v>3.5833333333333335</v>
      </c>
      <c r="AB57">
        <v>3.5833333333333335</v>
      </c>
      <c r="AC57">
        <v>3.3846153846153846</v>
      </c>
    </row>
    <row r="58" spans="1:29" x14ac:dyDescent="0.2">
      <c r="A58">
        <v>1</v>
      </c>
      <c r="B58">
        <v>1</v>
      </c>
      <c r="C58">
        <v>0</v>
      </c>
      <c r="D58">
        <v>1</v>
      </c>
      <c r="E58">
        <v>2</v>
      </c>
      <c r="F58" s="42">
        <v>1</v>
      </c>
      <c r="G58">
        <v>6</v>
      </c>
      <c r="H58">
        <v>0</v>
      </c>
      <c r="I58">
        <v>10</v>
      </c>
      <c r="J58">
        <v>0</v>
      </c>
      <c r="L58">
        <v>7</v>
      </c>
      <c r="M58">
        <v>533</v>
      </c>
      <c r="N58">
        <v>546.33333333333337</v>
      </c>
      <c r="P58">
        <v>7</v>
      </c>
      <c r="Q58">
        <v>0.23529411764705882</v>
      </c>
      <c r="R58">
        <v>0.26432880844645551</v>
      </c>
      <c r="T58">
        <v>7</v>
      </c>
      <c r="U58">
        <v>3.7647058823529411</v>
      </c>
      <c r="V58">
        <v>3.8679555738379263</v>
      </c>
      <c r="Y58">
        <v>3.0909090909090908</v>
      </c>
      <c r="Z58">
        <v>3.0909090909090908</v>
      </c>
      <c r="AB58">
        <v>3.0909090909090908</v>
      </c>
      <c r="AC58">
        <v>3.7647058823529411</v>
      </c>
    </row>
    <row r="59" spans="1:29" x14ac:dyDescent="0.2">
      <c r="A59">
        <v>0</v>
      </c>
      <c r="B59">
        <v>0</v>
      </c>
      <c r="C59">
        <v>1</v>
      </c>
      <c r="D59">
        <v>1</v>
      </c>
      <c r="E59">
        <v>2</v>
      </c>
      <c r="F59" s="42">
        <v>1</v>
      </c>
      <c r="G59">
        <v>9</v>
      </c>
      <c r="H59">
        <v>0</v>
      </c>
      <c r="I59">
        <v>1</v>
      </c>
      <c r="J59">
        <v>1</v>
      </c>
      <c r="L59">
        <v>8</v>
      </c>
      <c r="M59">
        <v>470</v>
      </c>
      <c r="N59">
        <v>473</v>
      </c>
      <c r="P59">
        <v>8</v>
      </c>
      <c r="Q59">
        <v>0.25</v>
      </c>
      <c r="R59">
        <v>0.31327985739750447</v>
      </c>
      <c r="T59">
        <v>8</v>
      </c>
      <c r="U59">
        <v>4.4545454545454541</v>
      </c>
      <c r="V59">
        <v>3.9821746880570408</v>
      </c>
      <c r="Y59">
        <v>2.4166666666666665</v>
      </c>
      <c r="Z59">
        <v>2.4166666666666665</v>
      </c>
      <c r="AB59">
        <v>2.4166666666666665</v>
      </c>
      <c r="AC59">
        <v>4.4545454545454541</v>
      </c>
    </row>
    <row r="60" spans="1:29" x14ac:dyDescent="0.2">
      <c r="A60">
        <v>2</v>
      </c>
      <c r="B60">
        <v>2</v>
      </c>
      <c r="C60">
        <v>0</v>
      </c>
      <c r="D60">
        <v>0</v>
      </c>
      <c r="E60">
        <v>2</v>
      </c>
      <c r="F60" s="42">
        <v>1</v>
      </c>
      <c r="G60">
        <v>10</v>
      </c>
      <c r="H60">
        <v>0</v>
      </c>
      <c r="I60">
        <v>0</v>
      </c>
      <c r="J60">
        <v>0</v>
      </c>
      <c r="L60">
        <v>9</v>
      </c>
      <c r="M60">
        <v>416</v>
      </c>
      <c r="N60">
        <v>411.33333333333331</v>
      </c>
      <c r="P60">
        <v>9</v>
      </c>
      <c r="Q60">
        <v>0.45454545454545453</v>
      </c>
      <c r="R60">
        <v>0.32575757575757575</v>
      </c>
      <c r="T60">
        <v>9</v>
      </c>
      <c r="U60">
        <v>3.7272727272727271</v>
      </c>
      <c r="V60">
        <v>3.6666666666666665</v>
      </c>
      <c r="Y60">
        <v>1.8333333333333333</v>
      </c>
      <c r="Z60">
        <v>1.8333333333333333</v>
      </c>
      <c r="AB60">
        <v>1.8333333333333333</v>
      </c>
      <c r="AC60">
        <v>3.7272727272727271</v>
      </c>
    </row>
    <row r="61" spans="1:29" x14ac:dyDescent="0.2">
      <c r="A61">
        <v>0</v>
      </c>
      <c r="B61">
        <v>1</v>
      </c>
      <c r="C61">
        <v>0</v>
      </c>
      <c r="D61">
        <v>1</v>
      </c>
      <c r="E61">
        <v>2</v>
      </c>
      <c r="F61" s="42">
        <v>1</v>
      </c>
      <c r="G61">
        <v>10</v>
      </c>
      <c r="H61">
        <v>0</v>
      </c>
      <c r="I61">
        <v>0</v>
      </c>
      <c r="J61">
        <v>0</v>
      </c>
      <c r="L61">
        <v>10</v>
      </c>
      <c r="M61">
        <v>348</v>
      </c>
      <c r="N61">
        <v>350.66666666666669</v>
      </c>
      <c r="P61">
        <v>10</v>
      </c>
      <c r="Q61">
        <v>0.27272727272727271</v>
      </c>
      <c r="R61">
        <v>0.39393939393939398</v>
      </c>
      <c r="T61">
        <v>10</v>
      </c>
      <c r="U61">
        <v>2.8181818181818183</v>
      </c>
      <c r="V61">
        <v>2.8484848484848482</v>
      </c>
      <c r="Y61">
        <v>1.3333333333333333</v>
      </c>
      <c r="Z61">
        <v>1.3333333333333333</v>
      </c>
      <c r="AB61">
        <v>1.3333333333333333</v>
      </c>
      <c r="AC61">
        <v>2.8181818181818183</v>
      </c>
    </row>
    <row r="62" spans="1:29" x14ac:dyDescent="0.2">
      <c r="A62">
        <v>1</v>
      </c>
      <c r="B62">
        <v>2</v>
      </c>
      <c r="C62">
        <v>0</v>
      </c>
      <c r="D62">
        <v>1</v>
      </c>
      <c r="E62">
        <v>2</v>
      </c>
      <c r="F62" s="42">
        <v>1</v>
      </c>
      <c r="G62">
        <v>10</v>
      </c>
      <c r="H62">
        <v>0</v>
      </c>
      <c r="I62">
        <v>0</v>
      </c>
      <c r="J62">
        <v>0</v>
      </c>
      <c r="L62">
        <v>11</v>
      </c>
      <c r="M62">
        <v>288</v>
      </c>
      <c r="N62">
        <v>286.66666666666669</v>
      </c>
      <c r="P62">
        <v>11</v>
      </c>
      <c r="Q62">
        <v>0.45454545454545453</v>
      </c>
      <c r="R62">
        <v>0.29797979797979796</v>
      </c>
      <c r="T62">
        <v>11</v>
      </c>
      <c r="U62">
        <v>2</v>
      </c>
      <c r="V62">
        <v>2</v>
      </c>
      <c r="Y62">
        <v>1</v>
      </c>
      <c r="Z62">
        <v>1</v>
      </c>
      <c r="AB62">
        <v>1</v>
      </c>
      <c r="AC62">
        <v>2</v>
      </c>
    </row>
    <row r="63" spans="1:29" x14ac:dyDescent="0.2">
      <c r="A63">
        <v>0</v>
      </c>
      <c r="B63">
        <v>0</v>
      </c>
      <c r="C63">
        <v>1</v>
      </c>
      <c r="D63">
        <v>0</v>
      </c>
      <c r="E63">
        <v>2</v>
      </c>
      <c r="F63" s="42">
        <v>1</v>
      </c>
      <c r="G63">
        <v>9</v>
      </c>
      <c r="H63">
        <v>0</v>
      </c>
      <c r="I63">
        <v>1</v>
      </c>
      <c r="J63">
        <v>1</v>
      </c>
      <c r="L63">
        <v>12</v>
      </c>
      <c r="M63">
        <v>224</v>
      </c>
      <c r="N63">
        <v>234</v>
      </c>
      <c r="P63">
        <v>12</v>
      </c>
      <c r="Q63">
        <v>0.16666666666666666</v>
      </c>
      <c r="R63">
        <v>0.22156346069389546</v>
      </c>
      <c r="T63">
        <v>12</v>
      </c>
      <c r="U63">
        <v>1.1818181818181819</v>
      </c>
      <c r="V63">
        <v>1.3939393939393938</v>
      </c>
      <c r="Y63">
        <v>1</v>
      </c>
      <c r="Z63">
        <v>1</v>
      </c>
      <c r="AB63">
        <v>1</v>
      </c>
      <c r="AC63">
        <v>1.1818181818181819</v>
      </c>
    </row>
    <row r="64" spans="1:29" x14ac:dyDescent="0.2">
      <c r="A64">
        <v>0</v>
      </c>
      <c r="B64">
        <v>0</v>
      </c>
      <c r="C64">
        <v>0</v>
      </c>
      <c r="D64">
        <v>0</v>
      </c>
      <c r="E64">
        <v>2</v>
      </c>
      <c r="F64" s="42">
        <v>1</v>
      </c>
      <c r="G64">
        <v>2</v>
      </c>
      <c r="H64">
        <v>0</v>
      </c>
      <c r="I64">
        <v>0</v>
      </c>
      <c r="J64">
        <v>20</v>
      </c>
      <c r="L64">
        <v>13</v>
      </c>
      <c r="M64">
        <v>190</v>
      </c>
      <c r="N64">
        <v>193</v>
      </c>
      <c r="P64">
        <v>13</v>
      </c>
      <c r="Q64">
        <v>4.3478260869565216E-2</v>
      </c>
      <c r="R64">
        <v>8.2868821999256784E-2</v>
      </c>
      <c r="T64">
        <v>13</v>
      </c>
      <c r="U64">
        <v>1</v>
      </c>
      <c r="V64">
        <v>1.0606060606060606</v>
      </c>
      <c r="Y64">
        <v>1</v>
      </c>
      <c r="Z64">
        <v>1</v>
      </c>
      <c r="AB64">
        <v>1</v>
      </c>
      <c r="AC64">
        <v>1</v>
      </c>
    </row>
    <row r="65" spans="1:29" x14ac:dyDescent="0.2">
      <c r="A65">
        <v>0</v>
      </c>
      <c r="B65">
        <v>0</v>
      </c>
      <c r="C65">
        <v>0</v>
      </c>
      <c r="D65">
        <v>0</v>
      </c>
      <c r="E65">
        <v>2</v>
      </c>
      <c r="F65" s="42">
        <v>1</v>
      </c>
      <c r="G65">
        <v>0</v>
      </c>
      <c r="H65">
        <v>0</v>
      </c>
      <c r="I65">
        <v>0</v>
      </c>
      <c r="J65">
        <v>25</v>
      </c>
      <c r="L65">
        <v>14</v>
      </c>
      <c r="M65">
        <v>165</v>
      </c>
      <c r="N65">
        <v>165</v>
      </c>
      <c r="P65">
        <v>14</v>
      </c>
      <c r="Q65">
        <v>3.8461538461538464E-2</v>
      </c>
      <c r="R65">
        <v>4.0133779264214048E-2</v>
      </c>
      <c r="T65">
        <v>14</v>
      </c>
      <c r="U65">
        <v>1</v>
      </c>
      <c r="V65">
        <v>1</v>
      </c>
      <c r="Y65">
        <v>1</v>
      </c>
      <c r="Z65">
        <v>1</v>
      </c>
      <c r="AB65">
        <v>1</v>
      </c>
      <c r="AC65">
        <v>1</v>
      </c>
    </row>
    <row r="66" spans="1:29" x14ac:dyDescent="0.2">
      <c r="A66">
        <v>0</v>
      </c>
      <c r="B66">
        <v>0</v>
      </c>
      <c r="C66">
        <v>0</v>
      </c>
      <c r="D66">
        <v>0</v>
      </c>
      <c r="E66">
        <v>2</v>
      </c>
      <c r="F66" s="42">
        <v>1</v>
      </c>
      <c r="G66">
        <v>0</v>
      </c>
      <c r="H66">
        <v>0</v>
      </c>
      <c r="I66">
        <v>0</v>
      </c>
      <c r="J66">
        <v>25</v>
      </c>
      <c r="L66">
        <v>15</v>
      </c>
      <c r="M66">
        <v>140</v>
      </c>
      <c r="N66">
        <v>140</v>
      </c>
      <c r="P66">
        <v>15</v>
      </c>
      <c r="Q66">
        <v>3.8461538461538464E-2</v>
      </c>
      <c r="R66">
        <v>3.8461538461538464E-2</v>
      </c>
      <c r="T66">
        <v>15</v>
      </c>
      <c r="U66">
        <v>1</v>
      </c>
      <c r="V66">
        <v>1</v>
      </c>
      <c r="Y66">
        <v>1</v>
      </c>
      <c r="Z66">
        <v>1</v>
      </c>
      <c r="AB66">
        <v>1</v>
      </c>
      <c r="AC66">
        <v>1</v>
      </c>
    </row>
    <row r="67" spans="1:29" x14ac:dyDescent="0.2">
      <c r="A67">
        <v>0</v>
      </c>
      <c r="B67">
        <v>0</v>
      </c>
      <c r="C67">
        <v>0</v>
      </c>
      <c r="D67">
        <v>0</v>
      </c>
      <c r="E67">
        <v>2</v>
      </c>
      <c r="F67" s="42">
        <v>1</v>
      </c>
      <c r="G67">
        <v>0</v>
      </c>
      <c r="H67">
        <v>0</v>
      </c>
      <c r="I67">
        <v>0</v>
      </c>
      <c r="J67">
        <v>25</v>
      </c>
      <c r="L67">
        <v>16</v>
      </c>
      <c r="M67">
        <v>115</v>
      </c>
      <c r="N67">
        <v>115</v>
      </c>
      <c r="P67">
        <v>16</v>
      </c>
      <c r="Q67">
        <v>3.8461538461538464E-2</v>
      </c>
      <c r="R67">
        <v>3.8461538461538464E-2</v>
      </c>
      <c r="T67">
        <v>16</v>
      </c>
      <c r="U67">
        <v>1</v>
      </c>
      <c r="V67">
        <v>1</v>
      </c>
      <c r="Y67">
        <v>1</v>
      </c>
      <c r="Z67">
        <v>1</v>
      </c>
      <c r="AB67">
        <v>1</v>
      </c>
      <c r="AC67">
        <v>1</v>
      </c>
    </row>
    <row r="68" spans="1:29" x14ac:dyDescent="0.2">
      <c r="A68">
        <v>0</v>
      </c>
      <c r="B68">
        <v>0</v>
      </c>
      <c r="C68">
        <v>0</v>
      </c>
      <c r="D68">
        <v>0</v>
      </c>
      <c r="E68">
        <v>2</v>
      </c>
      <c r="F68" s="42">
        <v>1</v>
      </c>
      <c r="G68">
        <v>0</v>
      </c>
      <c r="H68">
        <v>0</v>
      </c>
      <c r="I68">
        <v>0</v>
      </c>
      <c r="J68">
        <v>25</v>
      </c>
      <c r="L68">
        <v>17</v>
      </c>
      <c r="M68">
        <v>90</v>
      </c>
      <c r="N68">
        <v>90</v>
      </c>
      <c r="P68">
        <v>17</v>
      </c>
      <c r="Q68">
        <v>3.8461538461538464E-2</v>
      </c>
      <c r="R68">
        <v>3.8461538461538464E-2</v>
      </c>
      <c r="T68">
        <v>17</v>
      </c>
      <c r="U68">
        <v>1</v>
      </c>
      <c r="V68">
        <v>1</v>
      </c>
      <c r="Y68">
        <v>1</v>
      </c>
      <c r="Z68">
        <v>1</v>
      </c>
      <c r="AB68">
        <v>1</v>
      </c>
      <c r="AC68">
        <v>1</v>
      </c>
    </row>
    <row r="69" spans="1:29" x14ac:dyDescent="0.2">
      <c r="A69">
        <v>0</v>
      </c>
      <c r="B69">
        <v>0</v>
      </c>
      <c r="C69">
        <v>0</v>
      </c>
      <c r="D69">
        <v>0</v>
      </c>
      <c r="E69">
        <v>2</v>
      </c>
      <c r="F69" s="42">
        <v>1</v>
      </c>
      <c r="G69">
        <v>0</v>
      </c>
      <c r="H69">
        <v>0</v>
      </c>
      <c r="I69">
        <v>0</v>
      </c>
      <c r="J69">
        <v>25</v>
      </c>
      <c r="L69">
        <v>18</v>
      </c>
      <c r="M69">
        <v>65</v>
      </c>
      <c r="N69">
        <v>68.666666666666671</v>
      </c>
      <c r="P69">
        <v>18</v>
      </c>
      <c r="Q69">
        <v>3.8461538461538464E-2</v>
      </c>
      <c r="R69">
        <v>4.786324786324786E-2</v>
      </c>
      <c r="T69">
        <v>18</v>
      </c>
      <c r="U69">
        <v>1</v>
      </c>
      <c r="V69">
        <v>1</v>
      </c>
      <c r="Y69">
        <v>1</v>
      </c>
      <c r="Z69">
        <v>1</v>
      </c>
      <c r="AB69">
        <v>1</v>
      </c>
      <c r="AC69">
        <v>1</v>
      </c>
    </row>
    <row r="70" spans="1:29" x14ac:dyDescent="0.2">
      <c r="A70">
        <v>0</v>
      </c>
      <c r="B70">
        <v>0</v>
      </c>
      <c r="C70">
        <v>0</v>
      </c>
      <c r="D70">
        <v>0</v>
      </c>
      <c r="E70">
        <v>2</v>
      </c>
      <c r="F70" s="42">
        <v>1</v>
      </c>
      <c r="G70">
        <v>0</v>
      </c>
      <c r="H70">
        <v>6</v>
      </c>
      <c r="I70">
        <v>0</v>
      </c>
      <c r="J70">
        <v>8</v>
      </c>
      <c r="L70">
        <v>19</v>
      </c>
      <c r="M70">
        <v>51</v>
      </c>
      <c r="N70">
        <v>52.333333333333336</v>
      </c>
      <c r="P70">
        <v>19</v>
      </c>
      <c r="Q70">
        <v>6.6666666666666666E-2</v>
      </c>
      <c r="R70">
        <v>6.5345765345765347E-2</v>
      </c>
      <c r="T70">
        <v>19</v>
      </c>
      <c r="U70">
        <v>1</v>
      </c>
      <c r="V70">
        <v>1</v>
      </c>
      <c r="Y70">
        <v>1</v>
      </c>
      <c r="Z70">
        <v>1</v>
      </c>
      <c r="AB70">
        <v>1</v>
      </c>
      <c r="AC70">
        <v>1</v>
      </c>
    </row>
    <row r="71" spans="1:29" x14ac:dyDescent="0.2">
      <c r="A71">
        <v>0</v>
      </c>
      <c r="B71">
        <v>0</v>
      </c>
      <c r="C71">
        <v>0</v>
      </c>
      <c r="D71">
        <v>0</v>
      </c>
      <c r="E71">
        <v>2</v>
      </c>
      <c r="F71" s="42">
        <v>1</v>
      </c>
      <c r="G71">
        <v>0</v>
      </c>
      <c r="H71">
        <v>10</v>
      </c>
      <c r="I71">
        <v>0</v>
      </c>
      <c r="J71">
        <v>0</v>
      </c>
      <c r="L71">
        <v>20</v>
      </c>
      <c r="M71">
        <v>41</v>
      </c>
      <c r="P71">
        <v>20</v>
      </c>
      <c r="Q71">
        <v>9.0909090909090912E-2</v>
      </c>
      <c r="T71">
        <v>20</v>
      </c>
      <c r="U71">
        <v>1</v>
      </c>
      <c r="Y71">
        <v>1</v>
      </c>
      <c r="Z71">
        <v>1</v>
      </c>
      <c r="AB71">
        <v>1</v>
      </c>
      <c r="AC71">
        <v>1</v>
      </c>
    </row>
    <row r="72" spans="1:29" x14ac:dyDescent="0.2">
      <c r="F72" s="42"/>
    </row>
    <row r="73" spans="1:29" x14ac:dyDescent="0.2">
      <c r="A73" t="s">
        <v>51</v>
      </c>
      <c r="F73" s="42"/>
    </row>
    <row r="74" spans="1:29" x14ac:dyDescent="0.2">
      <c r="F74" s="42"/>
    </row>
    <row r="75" spans="1:29" x14ac:dyDescent="0.2">
      <c r="A75">
        <v>2</v>
      </c>
      <c r="B75">
        <v>4</v>
      </c>
      <c r="C75">
        <v>1</v>
      </c>
      <c r="D75">
        <v>3</v>
      </c>
      <c r="E75">
        <v>5</v>
      </c>
      <c r="F75" s="42">
        <v>5</v>
      </c>
      <c r="G75">
        <v>2</v>
      </c>
      <c r="H75">
        <v>2</v>
      </c>
      <c r="L75" t="s">
        <v>11</v>
      </c>
      <c r="M75" t="s">
        <v>30</v>
      </c>
      <c r="N75" t="s">
        <v>28</v>
      </c>
      <c r="P75" t="s">
        <v>12</v>
      </c>
      <c r="Q75" t="s">
        <v>30</v>
      </c>
      <c r="R75" t="s">
        <v>28</v>
      </c>
      <c r="T75" t="s">
        <v>48</v>
      </c>
      <c r="U75" t="s">
        <v>30</v>
      </c>
      <c r="V75" t="s">
        <v>28</v>
      </c>
    </row>
    <row r="76" spans="1:29" x14ac:dyDescent="0.2">
      <c r="A76">
        <v>17</v>
      </c>
      <c r="B76">
        <v>15</v>
      </c>
      <c r="C76">
        <v>14</v>
      </c>
      <c r="D76">
        <v>44</v>
      </c>
      <c r="E76">
        <v>1</v>
      </c>
      <c r="F76" s="42">
        <v>2</v>
      </c>
      <c r="G76">
        <v>0</v>
      </c>
      <c r="H76">
        <v>0</v>
      </c>
      <c r="I76">
        <v>12</v>
      </c>
      <c r="J76">
        <v>0</v>
      </c>
      <c r="L76">
        <v>1</v>
      </c>
      <c r="M76">
        <v>192</v>
      </c>
      <c r="P76">
        <v>1</v>
      </c>
      <c r="Q76">
        <v>7</v>
      </c>
      <c r="T76">
        <v>1</v>
      </c>
      <c r="U76">
        <v>2.5702479338842976</v>
      </c>
    </row>
    <row r="77" spans="1:29" x14ac:dyDescent="0.2">
      <c r="A77">
        <v>14</v>
      </c>
      <c r="B77">
        <v>14</v>
      </c>
      <c r="C77">
        <v>14</v>
      </c>
      <c r="D77">
        <v>27</v>
      </c>
      <c r="E77">
        <v>1</v>
      </c>
      <c r="F77" s="42">
        <v>2</v>
      </c>
      <c r="G77">
        <v>0</v>
      </c>
      <c r="H77">
        <v>0</v>
      </c>
      <c r="I77">
        <v>12</v>
      </c>
      <c r="J77">
        <v>0</v>
      </c>
      <c r="L77">
        <v>2</v>
      </c>
      <c r="M77">
        <v>345</v>
      </c>
      <c r="N77">
        <v>320.66666666666669</v>
      </c>
      <c r="P77">
        <v>2</v>
      </c>
      <c r="Q77">
        <v>5.384615384615385</v>
      </c>
      <c r="R77">
        <v>5.4358974358974352</v>
      </c>
      <c r="T77">
        <v>2</v>
      </c>
      <c r="U77">
        <v>3.6923076923076925</v>
      </c>
      <c r="V77">
        <v>3.4977749523204067</v>
      </c>
    </row>
    <row r="78" spans="1:29" x14ac:dyDescent="0.2">
      <c r="A78">
        <v>10</v>
      </c>
      <c r="B78">
        <v>7</v>
      </c>
      <c r="C78">
        <v>9</v>
      </c>
      <c r="D78">
        <v>24</v>
      </c>
      <c r="E78">
        <v>1</v>
      </c>
      <c r="F78" s="42">
        <v>2</v>
      </c>
      <c r="G78">
        <v>0</v>
      </c>
      <c r="H78">
        <v>0</v>
      </c>
      <c r="I78">
        <v>12</v>
      </c>
      <c r="J78">
        <v>0</v>
      </c>
      <c r="L78">
        <v>3</v>
      </c>
      <c r="M78">
        <v>425</v>
      </c>
      <c r="N78">
        <v>412.66666666666669</v>
      </c>
      <c r="P78">
        <v>3</v>
      </c>
      <c r="Q78">
        <v>3.9230769230769229</v>
      </c>
      <c r="R78">
        <v>4.584045584045584</v>
      </c>
      <c r="T78">
        <v>3</v>
      </c>
      <c r="U78">
        <v>4.2307692307692308</v>
      </c>
      <c r="V78">
        <v>4.6039886039886042</v>
      </c>
    </row>
    <row r="79" spans="1:29" x14ac:dyDescent="0.2">
      <c r="A79">
        <v>6</v>
      </c>
      <c r="B79">
        <v>4</v>
      </c>
      <c r="C79">
        <v>4</v>
      </c>
      <c r="D79">
        <v>25</v>
      </c>
      <c r="E79">
        <v>1</v>
      </c>
      <c r="F79" s="42">
        <v>2</v>
      </c>
      <c r="G79">
        <v>3</v>
      </c>
      <c r="H79">
        <v>0</v>
      </c>
      <c r="I79">
        <v>5</v>
      </c>
      <c r="J79">
        <v>0</v>
      </c>
      <c r="L79">
        <v>4</v>
      </c>
      <c r="M79">
        <v>468</v>
      </c>
      <c r="N79">
        <v>444.66666666666669</v>
      </c>
      <c r="P79">
        <v>4</v>
      </c>
      <c r="Q79">
        <v>4.4444444444444446</v>
      </c>
      <c r="R79">
        <v>3.193935693935694</v>
      </c>
      <c r="T79">
        <v>4</v>
      </c>
      <c r="U79">
        <v>5.8888888888888893</v>
      </c>
      <c r="V79">
        <v>4.7898860398860394</v>
      </c>
    </row>
    <row r="80" spans="1:29" x14ac:dyDescent="0.2">
      <c r="A80">
        <v>3</v>
      </c>
      <c r="B80">
        <v>1</v>
      </c>
      <c r="C80">
        <v>3</v>
      </c>
      <c r="D80">
        <v>9</v>
      </c>
      <c r="E80">
        <v>2</v>
      </c>
      <c r="F80" s="42">
        <v>1</v>
      </c>
      <c r="G80">
        <v>8</v>
      </c>
      <c r="H80">
        <v>0</v>
      </c>
      <c r="I80">
        <v>3</v>
      </c>
      <c r="J80">
        <v>2</v>
      </c>
      <c r="L80">
        <v>5</v>
      </c>
      <c r="M80">
        <v>441</v>
      </c>
      <c r="N80">
        <v>433</v>
      </c>
      <c r="P80">
        <v>5</v>
      </c>
      <c r="Q80">
        <v>1.2142857142857142</v>
      </c>
      <c r="R80">
        <v>2.1481481481481484</v>
      </c>
      <c r="T80">
        <v>5</v>
      </c>
      <c r="U80">
        <v>4.25</v>
      </c>
      <c r="V80">
        <v>4.5740740740740744</v>
      </c>
    </row>
    <row r="81" spans="1:22" x14ac:dyDescent="0.2">
      <c r="A81">
        <v>0</v>
      </c>
      <c r="B81">
        <v>2</v>
      </c>
      <c r="C81">
        <v>3</v>
      </c>
      <c r="D81">
        <v>5</v>
      </c>
      <c r="E81">
        <v>2</v>
      </c>
      <c r="F81" s="42">
        <v>1</v>
      </c>
      <c r="G81">
        <v>8</v>
      </c>
      <c r="H81">
        <v>0</v>
      </c>
      <c r="I81">
        <v>3</v>
      </c>
      <c r="J81">
        <v>2</v>
      </c>
      <c r="L81">
        <v>6</v>
      </c>
      <c r="M81">
        <v>390</v>
      </c>
      <c r="N81">
        <v>390</v>
      </c>
      <c r="P81">
        <v>6</v>
      </c>
      <c r="Q81">
        <v>0.7857142857142857</v>
      </c>
      <c r="R81">
        <v>0.91666666666666663</v>
      </c>
      <c r="T81">
        <v>6</v>
      </c>
      <c r="U81">
        <v>3.5833333333333335</v>
      </c>
      <c r="V81">
        <v>3.6414141414141419</v>
      </c>
    </row>
    <row r="82" spans="1:22" x14ac:dyDescent="0.2">
      <c r="A82">
        <v>1</v>
      </c>
      <c r="B82">
        <v>1</v>
      </c>
      <c r="C82">
        <v>1</v>
      </c>
      <c r="D82">
        <v>5</v>
      </c>
      <c r="E82">
        <v>2</v>
      </c>
      <c r="F82" s="42">
        <v>1</v>
      </c>
      <c r="G82">
        <v>9</v>
      </c>
      <c r="H82">
        <v>0</v>
      </c>
      <c r="I82">
        <v>1</v>
      </c>
      <c r="J82">
        <v>1</v>
      </c>
      <c r="L82">
        <v>7</v>
      </c>
      <c r="M82">
        <v>339</v>
      </c>
      <c r="N82">
        <v>342</v>
      </c>
      <c r="P82">
        <v>7</v>
      </c>
      <c r="Q82">
        <v>0.75</v>
      </c>
      <c r="R82">
        <v>0.70238095238095222</v>
      </c>
      <c r="T82">
        <v>7</v>
      </c>
      <c r="U82">
        <v>3.0909090909090908</v>
      </c>
      <c r="V82">
        <v>3.0303030303030298</v>
      </c>
    </row>
    <row r="83" spans="1:22" x14ac:dyDescent="0.2">
      <c r="A83">
        <v>2</v>
      </c>
      <c r="B83">
        <v>0</v>
      </c>
      <c r="C83">
        <v>3</v>
      </c>
      <c r="D83">
        <v>2</v>
      </c>
      <c r="E83">
        <v>2</v>
      </c>
      <c r="F83" s="42">
        <v>1</v>
      </c>
      <c r="G83">
        <v>8</v>
      </c>
      <c r="H83">
        <v>0</v>
      </c>
      <c r="I83">
        <v>3</v>
      </c>
      <c r="J83">
        <v>2</v>
      </c>
      <c r="L83">
        <v>8</v>
      </c>
      <c r="M83">
        <v>297</v>
      </c>
      <c r="N83">
        <v>295.66666666666669</v>
      </c>
      <c r="P83">
        <v>8</v>
      </c>
      <c r="Q83">
        <v>0.5714285714285714</v>
      </c>
      <c r="R83">
        <v>0.66269841269841268</v>
      </c>
      <c r="T83">
        <v>8</v>
      </c>
      <c r="U83">
        <v>2.4166666666666665</v>
      </c>
      <c r="V83">
        <v>2.4469696969696968</v>
      </c>
    </row>
    <row r="84" spans="1:22" x14ac:dyDescent="0.2">
      <c r="A84">
        <v>2</v>
      </c>
      <c r="B84">
        <v>1</v>
      </c>
      <c r="C84">
        <v>2</v>
      </c>
      <c r="D84">
        <v>2</v>
      </c>
      <c r="E84">
        <v>2</v>
      </c>
      <c r="F84" s="42">
        <v>1</v>
      </c>
      <c r="G84">
        <v>9</v>
      </c>
      <c r="H84">
        <v>0</v>
      </c>
      <c r="I84">
        <v>2</v>
      </c>
      <c r="J84">
        <v>0</v>
      </c>
      <c r="L84">
        <v>9</v>
      </c>
      <c r="M84">
        <v>251</v>
      </c>
      <c r="N84">
        <v>252.66666666666666</v>
      </c>
      <c r="P84">
        <v>9</v>
      </c>
      <c r="Q84">
        <v>0.66666666666666663</v>
      </c>
      <c r="R84">
        <v>0.62698412698412698</v>
      </c>
      <c r="T84">
        <v>9</v>
      </c>
      <c r="U84">
        <v>1.8333333333333333</v>
      </c>
      <c r="V84">
        <v>1.8611111111111109</v>
      </c>
    </row>
    <row r="85" spans="1:22" x14ac:dyDescent="0.2">
      <c r="A85">
        <v>2</v>
      </c>
      <c r="B85">
        <v>1</v>
      </c>
      <c r="C85">
        <v>3</v>
      </c>
      <c r="D85">
        <v>2</v>
      </c>
      <c r="E85">
        <v>2</v>
      </c>
      <c r="F85" s="42">
        <v>1</v>
      </c>
      <c r="G85">
        <v>8</v>
      </c>
      <c r="H85">
        <v>0</v>
      </c>
      <c r="I85">
        <v>3</v>
      </c>
      <c r="J85">
        <v>2</v>
      </c>
      <c r="L85">
        <v>10</v>
      </c>
      <c r="M85">
        <v>210</v>
      </c>
      <c r="N85">
        <v>211</v>
      </c>
      <c r="P85">
        <v>10</v>
      </c>
      <c r="Q85">
        <v>0.6428571428571429</v>
      </c>
      <c r="R85">
        <v>0.51058201058201058</v>
      </c>
      <c r="T85">
        <v>10</v>
      </c>
      <c r="U85">
        <v>1.3333333333333333</v>
      </c>
      <c r="V85">
        <v>1.3888888888888886</v>
      </c>
    </row>
    <row r="86" spans="1:22" x14ac:dyDescent="0.2">
      <c r="A86">
        <v>1</v>
      </c>
      <c r="B86">
        <v>1</v>
      </c>
      <c r="C86">
        <v>0</v>
      </c>
      <c r="D86">
        <v>1</v>
      </c>
      <c r="E86">
        <v>2</v>
      </c>
      <c r="F86" s="42">
        <v>1</v>
      </c>
      <c r="G86">
        <v>5</v>
      </c>
      <c r="H86">
        <v>0</v>
      </c>
      <c r="I86">
        <v>0</v>
      </c>
      <c r="J86">
        <v>12</v>
      </c>
      <c r="L86">
        <v>11</v>
      </c>
      <c r="M86">
        <v>172</v>
      </c>
      <c r="N86">
        <v>177</v>
      </c>
      <c r="P86">
        <v>11</v>
      </c>
      <c r="Q86">
        <v>0.22222222222222221</v>
      </c>
      <c r="R86">
        <v>0.32682132682132686</v>
      </c>
      <c r="T86">
        <v>11</v>
      </c>
      <c r="U86">
        <v>1</v>
      </c>
      <c r="V86">
        <v>1.1111111111111109</v>
      </c>
    </row>
    <row r="87" spans="1:22" x14ac:dyDescent="0.2">
      <c r="A87">
        <v>0</v>
      </c>
      <c r="B87">
        <v>0</v>
      </c>
      <c r="C87">
        <v>1</v>
      </c>
      <c r="D87">
        <v>1</v>
      </c>
      <c r="E87">
        <v>2</v>
      </c>
      <c r="F87" s="42">
        <v>1</v>
      </c>
      <c r="G87">
        <v>0</v>
      </c>
      <c r="H87">
        <v>0</v>
      </c>
      <c r="I87">
        <v>1</v>
      </c>
      <c r="J87">
        <v>24</v>
      </c>
      <c r="L87">
        <v>12</v>
      </c>
      <c r="M87">
        <v>149</v>
      </c>
      <c r="N87">
        <v>150.66666666666666</v>
      </c>
      <c r="P87">
        <v>12</v>
      </c>
      <c r="Q87">
        <v>0.11538461538461539</v>
      </c>
      <c r="R87">
        <v>0.18499938065155455</v>
      </c>
      <c r="T87">
        <v>12</v>
      </c>
      <c r="U87">
        <v>1</v>
      </c>
      <c r="V87">
        <v>1</v>
      </c>
    </row>
    <row r="88" spans="1:22" x14ac:dyDescent="0.2">
      <c r="A88">
        <v>2</v>
      </c>
      <c r="B88">
        <v>2</v>
      </c>
      <c r="C88">
        <v>0</v>
      </c>
      <c r="D88">
        <v>0</v>
      </c>
      <c r="E88">
        <v>2</v>
      </c>
      <c r="F88" s="42">
        <v>1</v>
      </c>
      <c r="G88">
        <v>2</v>
      </c>
      <c r="H88">
        <v>0</v>
      </c>
      <c r="I88">
        <v>0</v>
      </c>
      <c r="J88">
        <v>20</v>
      </c>
      <c r="L88">
        <v>13</v>
      </c>
      <c r="M88">
        <v>131</v>
      </c>
      <c r="N88">
        <v>129.33333333333334</v>
      </c>
      <c r="P88">
        <v>13</v>
      </c>
      <c r="Q88">
        <v>0.21739130434782608</v>
      </c>
      <c r="R88">
        <v>0.14938684503901897</v>
      </c>
      <c r="T88">
        <v>13</v>
      </c>
      <c r="U88">
        <v>1</v>
      </c>
      <c r="V88">
        <v>1</v>
      </c>
    </row>
    <row r="89" spans="1:22" x14ac:dyDescent="0.2">
      <c r="A89">
        <v>0</v>
      </c>
      <c r="B89">
        <v>1</v>
      </c>
      <c r="C89">
        <v>0</v>
      </c>
      <c r="D89">
        <v>1</v>
      </c>
      <c r="E89">
        <v>2</v>
      </c>
      <c r="F89" s="42">
        <v>1</v>
      </c>
      <c r="G89">
        <v>0</v>
      </c>
      <c r="H89">
        <v>0</v>
      </c>
      <c r="I89">
        <v>0</v>
      </c>
      <c r="J89">
        <v>25</v>
      </c>
      <c r="L89">
        <v>14</v>
      </c>
      <c r="M89">
        <v>108</v>
      </c>
      <c r="N89">
        <v>109.33333333333333</v>
      </c>
      <c r="P89">
        <v>14</v>
      </c>
      <c r="Q89">
        <v>0.11538461538461539</v>
      </c>
      <c r="R89">
        <v>0.18036975102192496</v>
      </c>
      <c r="T89">
        <v>14</v>
      </c>
      <c r="U89">
        <v>1</v>
      </c>
      <c r="V89">
        <v>1</v>
      </c>
    </row>
    <row r="90" spans="1:22" x14ac:dyDescent="0.2">
      <c r="A90">
        <v>1</v>
      </c>
      <c r="B90">
        <v>2</v>
      </c>
      <c r="C90">
        <v>0</v>
      </c>
      <c r="D90">
        <v>1</v>
      </c>
      <c r="E90">
        <v>2</v>
      </c>
      <c r="F90" s="42">
        <v>1</v>
      </c>
      <c r="G90">
        <v>1</v>
      </c>
      <c r="H90">
        <v>0</v>
      </c>
      <c r="I90">
        <v>0</v>
      </c>
      <c r="J90">
        <v>22</v>
      </c>
      <c r="L90">
        <v>15</v>
      </c>
      <c r="M90">
        <v>89</v>
      </c>
      <c r="N90">
        <v>87.333333333333329</v>
      </c>
      <c r="P90">
        <v>15</v>
      </c>
      <c r="Q90">
        <v>0.20833333333333334</v>
      </c>
      <c r="R90">
        <v>0.13354700854700854</v>
      </c>
      <c r="T90">
        <v>15</v>
      </c>
      <c r="U90">
        <v>1</v>
      </c>
      <c r="V90">
        <v>1</v>
      </c>
    </row>
    <row r="91" spans="1:22" x14ac:dyDescent="0.2">
      <c r="A91">
        <v>0</v>
      </c>
      <c r="B91">
        <v>0</v>
      </c>
      <c r="C91">
        <v>1</v>
      </c>
      <c r="D91">
        <v>0</v>
      </c>
      <c r="E91">
        <v>2</v>
      </c>
      <c r="F91" s="42">
        <v>1</v>
      </c>
      <c r="G91">
        <v>0</v>
      </c>
      <c r="H91">
        <v>0</v>
      </c>
      <c r="I91">
        <v>1</v>
      </c>
      <c r="J91">
        <v>24</v>
      </c>
      <c r="L91">
        <v>16</v>
      </c>
      <c r="M91">
        <v>65</v>
      </c>
      <c r="N91">
        <v>65.666666666666671</v>
      </c>
      <c r="P91">
        <v>16</v>
      </c>
      <c r="Q91">
        <v>7.6923076923076927E-2</v>
      </c>
      <c r="R91">
        <v>0.10957822370865848</v>
      </c>
      <c r="T91">
        <v>16</v>
      </c>
      <c r="U91">
        <v>1</v>
      </c>
      <c r="V91">
        <v>1</v>
      </c>
    </row>
    <row r="92" spans="1:22" x14ac:dyDescent="0.2">
      <c r="A92">
        <v>0</v>
      </c>
      <c r="B92">
        <v>0</v>
      </c>
      <c r="C92">
        <v>0</v>
      </c>
      <c r="D92">
        <v>0</v>
      </c>
      <c r="E92">
        <v>3</v>
      </c>
      <c r="F92" s="42">
        <v>0</v>
      </c>
      <c r="G92">
        <v>0</v>
      </c>
      <c r="H92">
        <v>9</v>
      </c>
      <c r="I92">
        <v>0</v>
      </c>
      <c r="J92">
        <v>13</v>
      </c>
      <c r="L92">
        <v>17</v>
      </c>
      <c r="M92">
        <v>43</v>
      </c>
      <c r="N92">
        <v>45.333333333333336</v>
      </c>
      <c r="P92">
        <v>17</v>
      </c>
      <c r="Q92">
        <v>4.3478260869565216E-2</v>
      </c>
      <c r="R92">
        <v>6.0967112597547383E-2</v>
      </c>
      <c r="T92">
        <v>17</v>
      </c>
      <c r="U92">
        <v>1</v>
      </c>
      <c r="V92">
        <v>1</v>
      </c>
    </row>
    <row r="93" spans="1:22" x14ac:dyDescent="0.2">
      <c r="A93">
        <v>0</v>
      </c>
      <c r="B93">
        <v>0</v>
      </c>
      <c r="C93">
        <v>0</v>
      </c>
      <c r="D93">
        <v>0</v>
      </c>
      <c r="E93">
        <v>3</v>
      </c>
      <c r="F93" s="42">
        <v>0</v>
      </c>
      <c r="G93">
        <v>0</v>
      </c>
      <c r="H93">
        <v>15</v>
      </c>
      <c r="I93">
        <v>0</v>
      </c>
      <c r="J93">
        <v>0</v>
      </c>
      <c r="L93">
        <v>18</v>
      </c>
      <c r="M93">
        <v>28</v>
      </c>
      <c r="N93">
        <v>28</v>
      </c>
      <c r="P93">
        <v>18</v>
      </c>
      <c r="Q93">
        <v>6.25E-2</v>
      </c>
      <c r="R93">
        <v>5.6159420289855072E-2</v>
      </c>
      <c r="T93">
        <v>18</v>
      </c>
      <c r="U93">
        <v>1</v>
      </c>
      <c r="V93">
        <v>1</v>
      </c>
    </row>
    <row r="94" spans="1:22" x14ac:dyDescent="0.2">
      <c r="A94">
        <v>0</v>
      </c>
      <c r="B94">
        <v>0</v>
      </c>
      <c r="C94">
        <v>0</v>
      </c>
      <c r="D94">
        <v>0</v>
      </c>
      <c r="E94">
        <v>3</v>
      </c>
      <c r="F94" s="42">
        <v>0</v>
      </c>
      <c r="G94">
        <v>0</v>
      </c>
      <c r="H94">
        <v>15</v>
      </c>
      <c r="I94">
        <v>0</v>
      </c>
      <c r="J94">
        <v>0</v>
      </c>
      <c r="L94">
        <v>19</v>
      </c>
      <c r="M94">
        <v>13</v>
      </c>
      <c r="N94">
        <v>13.666666666666666</v>
      </c>
      <c r="P94">
        <v>19</v>
      </c>
      <c r="Q94">
        <v>6.25E-2</v>
      </c>
      <c r="R94">
        <v>6.5476190476190479E-2</v>
      </c>
      <c r="T94">
        <v>19</v>
      </c>
      <c r="U94">
        <v>1</v>
      </c>
      <c r="V94">
        <v>1</v>
      </c>
    </row>
    <row r="95" spans="1:22" x14ac:dyDescent="0.2">
      <c r="A95">
        <v>0</v>
      </c>
      <c r="B95">
        <v>0</v>
      </c>
      <c r="C95">
        <v>0</v>
      </c>
      <c r="D95">
        <v>0</v>
      </c>
      <c r="E95">
        <v>3</v>
      </c>
      <c r="F95" s="42">
        <v>0</v>
      </c>
      <c r="G95">
        <v>0</v>
      </c>
      <c r="H95">
        <v>13</v>
      </c>
      <c r="I95">
        <v>0</v>
      </c>
      <c r="J95">
        <v>0</v>
      </c>
      <c r="L95">
        <v>20</v>
      </c>
      <c r="M95">
        <v>0</v>
      </c>
      <c r="P95">
        <v>20</v>
      </c>
      <c r="Q95">
        <v>7.1428571428571425E-2</v>
      </c>
      <c r="T95">
        <v>20</v>
      </c>
      <c r="U95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Detection curves</vt:lpstr>
      <vt:lpstr>Simulation</vt:lpstr>
      <vt:lpstr>Random effort</vt:lpstr>
      <vt:lpstr>first in first out</vt:lpstr>
      <vt:lpstr>major -&gt; minor, easy -&gt; hard</vt:lpstr>
      <vt:lpstr>DF DF</vt:lpstr>
      <vt:lpstr>total importance</vt:lpstr>
      <vt:lpstr>avg time que</vt:lpstr>
      <vt:lpstr>staff 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Tyndall</dc:creator>
  <cp:lastModifiedBy>Microsoft Office User</cp:lastModifiedBy>
  <dcterms:created xsi:type="dcterms:W3CDTF">2014-08-27T10:21:01Z</dcterms:created>
  <dcterms:modified xsi:type="dcterms:W3CDTF">2019-09-08T06:20:13Z</dcterms:modified>
</cp:coreProperties>
</file>